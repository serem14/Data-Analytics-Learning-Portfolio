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Analysis Resources\Personal Projects\"/>
    </mc:Choice>
  </mc:AlternateContent>
  <xr:revisionPtr revIDLastSave="0" documentId="13_ncr:1_{0BFA7812-C9E1-4F09-9C0E-75314B12846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essy_medical_patient_dataset" sheetId="1" r:id="rId1"/>
  </sheets>
  <definedNames>
    <definedName name="_xlnm._FilterDatabase" localSheetId="0" hidden="1">Messy_medical_patient_dataset!$K$1:$K$219</definedName>
    <definedName name="_xlnm.Criteria" localSheetId="0">Messy_medical_patient_dataset!$D$5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K36" i="1" s="1"/>
  <c r="G37" i="1"/>
  <c r="K37" i="1" s="1"/>
  <c r="G38" i="1"/>
  <c r="G39" i="1"/>
  <c r="G40" i="1"/>
  <c r="G41" i="1"/>
  <c r="G42" i="1"/>
  <c r="G43" i="1"/>
  <c r="K43" i="1" s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K59" i="1" s="1"/>
  <c r="G60" i="1"/>
  <c r="G61" i="1"/>
  <c r="G62" i="1"/>
  <c r="G63" i="1"/>
  <c r="G64" i="1"/>
  <c r="K64" i="1" s="1"/>
  <c r="G65" i="1"/>
  <c r="G66" i="1"/>
  <c r="G67" i="1"/>
  <c r="G68" i="1"/>
  <c r="G69" i="1"/>
  <c r="G70" i="1"/>
  <c r="G71" i="1"/>
  <c r="G72" i="1"/>
  <c r="G73" i="1"/>
  <c r="G74" i="1"/>
  <c r="G75" i="1"/>
  <c r="K75" i="1" s="1"/>
  <c r="G76" i="1"/>
  <c r="G77" i="1"/>
  <c r="G78" i="1"/>
  <c r="G79" i="1"/>
  <c r="G80" i="1"/>
  <c r="G81" i="1"/>
  <c r="G82" i="1"/>
  <c r="G83" i="1"/>
  <c r="K83" i="1" s="1"/>
  <c r="G84" i="1"/>
  <c r="G85" i="1"/>
  <c r="K85" i="1" s="1"/>
  <c r="G86" i="1"/>
  <c r="G87" i="1"/>
  <c r="G88" i="1"/>
  <c r="K88" i="1" s="1"/>
  <c r="G89" i="1"/>
  <c r="G90" i="1"/>
  <c r="G91" i="1"/>
  <c r="G92" i="1"/>
  <c r="K92" i="1" s="1"/>
  <c r="G93" i="1"/>
  <c r="G94" i="1"/>
  <c r="G95" i="1"/>
  <c r="G96" i="1"/>
  <c r="G97" i="1"/>
  <c r="G98" i="1"/>
  <c r="G99" i="1"/>
  <c r="G100" i="1"/>
  <c r="G101" i="1"/>
  <c r="K101" i="1" s="1"/>
  <c r="G102" i="1"/>
  <c r="G103" i="1"/>
  <c r="G104" i="1"/>
  <c r="G105" i="1"/>
  <c r="G106" i="1"/>
  <c r="G107" i="1"/>
  <c r="K107" i="1" s="1"/>
  <c r="G108" i="1"/>
  <c r="G109" i="1"/>
  <c r="K109" i="1" s="1"/>
  <c r="G110" i="1"/>
  <c r="G111" i="1"/>
  <c r="G112" i="1"/>
  <c r="G113" i="1"/>
  <c r="G114" i="1"/>
  <c r="G115" i="1"/>
  <c r="G116" i="1"/>
  <c r="K116" i="1" s="1"/>
  <c r="G117" i="1"/>
  <c r="G118" i="1"/>
  <c r="G119" i="1"/>
  <c r="G120" i="1"/>
  <c r="K120" i="1" s="1"/>
  <c r="G121" i="1"/>
  <c r="G122" i="1"/>
  <c r="G123" i="1"/>
  <c r="G124" i="1"/>
  <c r="K124" i="1" s="1"/>
  <c r="G125" i="1"/>
  <c r="G126" i="1"/>
  <c r="G127" i="1"/>
  <c r="G128" i="1"/>
  <c r="G129" i="1"/>
  <c r="G130" i="1"/>
  <c r="G131" i="1"/>
  <c r="G132" i="1"/>
  <c r="K132" i="1" s="1"/>
  <c r="G133" i="1"/>
  <c r="G134" i="1"/>
  <c r="G135" i="1"/>
  <c r="G136" i="1"/>
  <c r="G137" i="1"/>
  <c r="G138" i="1"/>
  <c r="G139" i="1"/>
  <c r="K139" i="1" s="1"/>
  <c r="G140" i="1"/>
  <c r="G141" i="1"/>
  <c r="K141" i="1" s="1"/>
  <c r="G142" i="1"/>
  <c r="G143" i="1"/>
  <c r="G144" i="1"/>
  <c r="G145" i="1"/>
  <c r="G146" i="1"/>
  <c r="G147" i="1"/>
  <c r="K147" i="1" s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K171" i="1" s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K188" i="1" s="1"/>
  <c r="G189" i="1"/>
  <c r="G190" i="1"/>
  <c r="G191" i="1"/>
  <c r="G192" i="1"/>
  <c r="G193" i="1"/>
  <c r="G194" i="1"/>
  <c r="G195" i="1"/>
  <c r="K195" i="1" s="1"/>
  <c r="G196" i="1"/>
  <c r="K196" i="1" s="1"/>
  <c r="G197" i="1"/>
  <c r="G198" i="1"/>
  <c r="G199" i="1"/>
  <c r="G200" i="1"/>
  <c r="G201" i="1"/>
  <c r="G202" i="1"/>
  <c r="G203" i="1"/>
  <c r="K203" i="1" s="1"/>
  <c r="G204" i="1"/>
  <c r="G205" i="1"/>
  <c r="G206" i="1"/>
  <c r="G207" i="1"/>
  <c r="G208" i="1"/>
  <c r="G209" i="1"/>
  <c r="G210" i="1"/>
  <c r="G211" i="1"/>
  <c r="G212" i="1"/>
  <c r="K212" i="1" s="1"/>
  <c r="G213" i="1"/>
  <c r="K213" i="1" s="1"/>
  <c r="G214" i="1"/>
  <c r="G215" i="1"/>
  <c r="G216" i="1"/>
  <c r="G217" i="1"/>
  <c r="G218" i="1"/>
  <c r="G219" i="1"/>
  <c r="G3" i="1"/>
  <c r="K3" i="1" s="1"/>
  <c r="G4" i="1"/>
  <c r="G5" i="1"/>
  <c r="G6" i="1"/>
  <c r="K6" i="1" s="1"/>
  <c r="G7" i="1"/>
  <c r="G8" i="1"/>
  <c r="G9" i="1"/>
  <c r="G10" i="1"/>
  <c r="G11" i="1"/>
  <c r="K11" i="1" s="1"/>
  <c r="G12" i="1"/>
  <c r="G13" i="1"/>
  <c r="G14" i="1"/>
  <c r="K14" i="1" s="1"/>
  <c r="G2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3" i="1"/>
  <c r="C4" i="1"/>
  <c r="C2" i="1"/>
  <c r="K186" i="1" l="1"/>
  <c r="K178" i="1"/>
  <c r="K10" i="1"/>
  <c r="K8" i="1"/>
  <c r="K193" i="1"/>
  <c r="K185" i="1"/>
  <c r="K177" i="1"/>
  <c r="K169" i="1"/>
  <c r="K161" i="1"/>
  <c r="K153" i="1"/>
  <c r="K145" i="1"/>
  <c r="K137" i="1"/>
  <c r="K129" i="1"/>
  <c r="K121" i="1"/>
  <c r="K113" i="1"/>
  <c r="K105" i="1"/>
  <c r="K97" i="1"/>
  <c r="K89" i="1"/>
  <c r="K81" i="1"/>
  <c r="K73" i="1"/>
  <c r="K65" i="1"/>
  <c r="K57" i="1"/>
  <c r="K49" i="1"/>
  <c r="K41" i="1"/>
  <c r="K33" i="1"/>
  <c r="K25" i="1"/>
  <c r="K17" i="1"/>
  <c r="K217" i="1"/>
  <c r="K2" i="1"/>
  <c r="K201" i="1"/>
  <c r="K209" i="1"/>
  <c r="K219" i="1"/>
  <c r="K211" i="1"/>
  <c r="K187" i="1"/>
  <c r="K179" i="1"/>
  <c r="K163" i="1"/>
  <c r="K155" i="1"/>
  <c r="K131" i="1"/>
  <c r="K123" i="1"/>
  <c r="K115" i="1"/>
  <c r="K99" i="1"/>
  <c r="K91" i="1"/>
  <c r="K67" i="1"/>
  <c r="K51" i="1"/>
  <c r="K35" i="1"/>
  <c r="K27" i="1"/>
  <c r="K19" i="1"/>
  <c r="K9" i="1"/>
  <c r="K218" i="1"/>
  <c r="K210" i="1"/>
  <c r="K202" i="1"/>
  <c r="K194" i="1"/>
  <c r="K170" i="1"/>
  <c r="K162" i="1"/>
  <c r="K154" i="1"/>
  <c r="K146" i="1"/>
  <c r="K138" i="1"/>
  <c r="K130" i="1"/>
  <c r="K122" i="1"/>
  <c r="K114" i="1"/>
  <c r="K106" i="1"/>
  <c r="K98" i="1"/>
  <c r="K90" i="1"/>
  <c r="K82" i="1"/>
  <c r="K74" i="1"/>
  <c r="K66" i="1"/>
  <c r="K58" i="1"/>
  <c r="K50" i="1"/>
  <c r="K42" i="1"/>
  <c r="K34" i="1"/>
  <c r="K26" i="1"/>
  <c r="K18" i="1"/>
  <c r="K7" i="1"/>
  <c r="K200" i="1"/>
  <c r="K192" i="1"/>
  <c r="K184" i="1"/>
  <c r="K176" i="1"/>
  <c r="K168" i="1"/>
  <c r="K160" i="1"/>
  <c r="K152" i="1"/>
  <c r="K144" i="1"/>
  <c r="K136" i="1"/>
  <c r="K128" i="1"/>
  <c r="K112" i="1"/>
  <c r="K104" i="1"/>
  <c r="K96" i="1"/>
  <c r="K80" i="1"/>
  <c r="K72" i="1"/>
  <c r="K56" i="1"/>
  <c r="K48" i="1"/>
  <c r="K40" i="1"/>
  <c r="K32" i="1"/>
  <c r="K24" i="1"/>
  <c r="K16" i="1"/>
  <c r="K208" i="1"/>
  <c r="K215" i="1"/>
  <c r="K207" i="1"/>
  <c r="K199" i="1"/>
  <c r="K191" i="1"/>
  <c r="K183" i="1"/>
  <c r="K175" i="1"/>
  <c r="K167" i="1"/>
  <c r="K159" i="1"/>
  <c r="K151" i="1"/>
  <c r="K143" i="1"/>
  <c r="K135" i="1"/>
  <c r="K127" i="1"/>
  <c r="K119" i="1"/>
  <c r="K111" i="1"/>
  <c r="K103" i="1"/>
  <c r="K95" i="1"/>
  <c r="K87" i="1"/>
  <c r="K79" i="1"/>
  <c r="K71" i="1"/>
  <c r="K63" i="1"/>
  <c r="K55" i="1"/>
  <c r="K47" i="1"/>
  <c r="K39" i="1"/>
  <c r="K31" i="1"/>
  <c r="K23" i="1"/>
  <c r="K15" i="1"/>
  <c r="K216" i="1"/>
  <c r="K13" i="1"/>
  <c r="K5" i="1"/>
  <c r="K214" i="1"/>
  <c r="K206" i="1"/>
  <c r="K198" i="1"/>
  <c r="K190" i="1"/>
  <c r="K182" i="1"/>
  <c r="K174" i="1"/>
  <c r="K166" i="1"/>
  <c r="K158" i="1"/>
  <c r="K150" i="1"/>
  <c r="K142" i="1"/>
  <c r="K134" i="1"/>
  <c r="K126" i="1"/>
  <c r="K118" i="1"/>
  <c r="K110" i="1"/>
  <c r="K102" i="1"/>
  <c r="K94" i="1"/>
  <c r="K86" i="1"/>
  <c r="K78" i="1"/>
  <c r="K70" i="1"/>
  <c r="K62" i="1"/>
  <c r="K54" i="1"/>
  <c r="K46" i="1"/>
  <c r="K38" i="1"/>
  <c r="K30" i="1"/>
  <c r="K22" i="1"/>
  <c r="K12" i="1"/>
  <c r="K4" i="1"/>
  <c r="K205" i="1"/>
  <c r="K197" i="1"/>
  <c r="K189" i="1"/>
  <c r="K181" i="1"/>
  <c r="K173" i="1"/>
  <c r="K165" i="1"/>
  <c r="K157" i="1"/>
  <c r="K149" i="1"/>
  <c r="K133" i="1"/>
  <c r="K125" i="1"/>
  <c r="K117" i="1"/>
  <c r="K93" i="1"/>
  <c r="K77" i="1"/>
  <c r="K69" i="1"/>
  <c r="K61" i="1"/>
  <c r="K53" i="1"/>
  <c r="K45" i="1"/>
  <c r="K29" i="1"/>
  <c r="K21" i="1"/>
  <c r="K204" i="1"/>
  <c r="K180" i="1"/>
  <c r="K172" i="1"/>
  <c r="K164" i="1"/>
  <c r="K156" i="1"/>
  <c r="K148" i="1"/>
  <c r="K140" i="1"/>
  <c r="K108" i="1"/>
  <c r="K100" i="1"/>
  <c r="K84" i="1"/>
  <c r="K76" i="1"/>
  <c r="K68" i="1"/>
  <c r="K60" i="1"/>
  <c r="K52" i="1"/>
  <c r="K44" i="1"/>
  <c r="K28" i="1"/>
  <c r="K20" i="1"/>
</calcChain>
</file>

<file path=xl/sharedStrings.xml><?xml version="1.0" encoding="utf-8"?>
<sst xmlns="http://schemas.openxmlformats.org/spreadsheetml/2006/main" count="665" uniqueCount="23">
  <si>
    <t>Patient_ID</t>
  </si>
  <si>
    <t>Age</t>
  </si>
  <si>
    <t>Gender</t>
  </si>
  <si>
    <t>Diagnosis</t>
  </si>
  <si>
    <t>Visits_Last_Year</t>
  </si>
  <si>
    <t>Treatment_Cost_USD</t>
  </si>
  <si>
    <t>Outcome</t>
  </si>
  <si>
    <t>Female</t>
  </si>
  <si>
    <t>Heart Disease</t>
  </si>
  <si>
    <t>Improving</t>
  </si>
  <si>
    <t>Hypertension</t>
  </si>
  <si>
    <t>Stable</t>
  </si>
  <si>
    <t>Infection</t>
  </si>
  <si>
    <t>Diabetes</t>
  </si>
  <si>
    <t>Male</t>
  </si>
  <si>
    <t>Critical</t>
  </si>
  <si>
    <t>Recovered</t>
  </si>
  <si>
    <t>Asthma</t>
  </si>
  <si>
    <t>Unknown</t>
  </si>
  <si>
    <t>Cost_Group</t>
  </si>
  <si>
    <t>Risk_Level</t>
  </si>
  <si>
    <t>Visit_Level</t>
  </si>
  <si>
    <t>Age_Group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</si>
</sst>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9"/>
  <sheetViews>
    <sheetView tabSelected="1" zoomScale="97" zoomScaleNormal="140" workbookViewId="0">
      <selection activeCell="H10" sqref="H10"/>
    </sheetView>
  </sheetViews>
  <sheetFormatPr defaultRowHeight="14.5" x14ac:dyDescent="0.35"/>
  <cols>
    <col min="3" max="3" width="11.08984375" customWidth="1"/>
    <col min="4" max="4" width="8.81640625" customWidth="1"/>
    <col min="5" max="5" width="12" customWidth="1"/>
    <col min="6" max="8" width="13.54296875" customWidth="1"/>
    <col min="9" max="9" width="12.54296875" customWidth="1"/>
    <col min="10" max="10" width="10" customWidth="1"/>
    <col min="11" max="11" width="16.81640625" customWidth="1"/>
  </cols>
  <sheetData>
    <row r="1" spans="1:11" x14ac:dyDescent="0.35">
      <c r="A1" s="1" t="s">
        <v>0</v>
      </c>
      <c r="B1" s="2" t="s">
        <v>1</v>
      </c>
      <c r="C1" s="2" t="s">
        <v>22</v>
      </c>
      <c r="D1" s="1" t="s">
        <v>2</v>
      </c>
      <c r="E1" s="1" t="s">
        <v>3</v>
      </c>
      <c r="F1" s="1" t="s">
        <v>4</v>
      </c>
      <c r="G1" s="1" t="s">
        <v>21</v>
      </c>
      <c r="H1" s="1" t="s">
        <v>5</v>
      </c>
      <c r="I1" s="1" t="s">
        <v>19</v>
      </c>
      <c r="J1" s="1" t="s">
        <v>6</v>
      </c>
      <c r="K1" s="1" t="s">
        <v>20</v>
      </c>
    </row>
    <row r="2" spans="1:11" x14ac:dyDescent="0.35">
      <c r="A2">
        <v>1</v>
      </c>
      <c r="B2">
        <v>69</v>
      </c>
      <c r="C2" t="str">
        <f>IF(B2&lt;=17,"Child",IF(B2&lt;=35,"Young Adult",IF(B2&lt;=55,"Adult","Senior")))</f>
        <v>Senior</v>
      </c>
      <c r="D2" t="s">
        <v>7</v>
      </c>
      <c r="E2" t="s">
        <v>8</v>
      </c>
      <c r="F2">
        <v>4</v>
      </c>
      <c r="G2" t="str">
        <f>IF(F2=0,"No Visits",IF(F2&lt;=2,"Low",IF(F2&lt;=5,"Medium","High")))</f>
        <v>Medium</v>
      </c>
      <c r="H2">
        <v>2044</v>
      </c>
      <c r="I2" t="str">
        <f>IF(H2&lt;=500,"Low Cost",IF(H2&lt;=1500,"Moderate","High Cost"))</f>
        <v>High Cost</v>
      </c>
      <c r="J2" t="s">
        <v>9</v>
      </c>
      <c r="K2" t="str">
        <f>IF(AND(G2="High",I2="High Cost"),"High Risk",IF(OR(C2="Senoir",G2="Medium",I2="Moderate"),"Medium Risk","Low Risk"))</f>
        <v>Medium Risk</v>
      </c>
    </row>
    <row r="3" spans="1:11" x14ac:dyDescent="0.35">
      <c r="A3">
        <v>2</v>
      </c>
      <c r="B3">
        <v>32</v>
      </c>
      <c r="C3" t="str">
        <f t="shared" ref="C3:C66" si="0">IF(B3&lt;=17,"Child",IF(B3&lt;=35,"Young Adult",IF(B3&lt;=55,"Adult","Senior")))</f>
        <v>Young Adult</v>
      </c>
      <c r="D3" t="s">
        <v>7</v>
      </c>
      <c r="E3" t="s">
        <v>10</v>
      </c>
      <c r="F3">
        <v>14</v>
      </c>
      <c r="G3" t="str">
        <f t="shared" ref="G3:G66" si="1">IF(F3=0,"No Visits",IF(F3&lt;=2,"Low",IF(F3&lt;=5,"Medium","High")))</f>
        <v>High</v>
      </c>
      <c r="H3">
        <v>1993</v>
      </c>
      <c r="I3" t="str">
        <f t="shared" ref="I3:I66" si="2">IF(H3&lt;=500,"Low Cost",IF(H3&lt;=1500,"Moderate","High Cost"))</f>
        <v>High Cost</v>
      </c>
      <c r="J3" t="s">
        <v>11</v>
      </c>
      <c r="K3" t="str">
        <f t="shared" ref="K3:K66" si="3">IF(AND(G3="High",I3="High Cost"),"High Risk",IF(OR(C3="Senoir",G3="Medium",I3="Moderate"),"Medium Risk","Low Risk"))</f>
        <v>High Risk</v>
      </c>
    </row>
    <row r="4" spans="1:11" x14ac:dyDescent="0.35">
      <c r="A4">
        <v>3</v>
      </c>
      <c r="B4">
        <v>78</v>
      </c>
      <c r="C4" t="str">
        <f t="shared" si="0"/>
        <v>Senior</v>
      </c>
      <c r="D4" t="s">
        <v>14</v>
      </c>
      <c r="E4" t="s">
        <v>12</v>
      </c>
      <c r="F4">
        <v>1</v>
      </c>
      <c r="G4" t="str">
        <f t="shared" si="1"/>
        <v>Low</v>
      </c>
      <c r="H4">
        <v>2088</v>
      </c>
      <c r="I4" t="str">
        <f t="shared" si="2"/>
        <v>High Cost</v>
      </c>
      <c r="J4" t="s">
        <v>18</v>
      </c>
      <c r="K4" t="str">
        <f t="shared" si="3"/>
        <v>Low Risk</v>
      </c>
    </row>
    <row r="5" spans="1:11" x14ac:dyDescent="0.35">
      <c r="A5">
        <v>4</v>
      </c>
      <c r="B5">
        <v>38</v>
      </c>
      <c r="C5" t="str">
        <f t="shared" si="0"/>
        <v>Adult</v>
      </c>
      <c r="D5" t="s">
        <v>18</v>
      </c>
      <c r="E5" t="s">
        <v>13</v>
      </c>
      <c r="F5">
        <v>9</v>
      </c>
      <c r="G5" t="str">
        <f t="shared" si="1"/>
        <v>High</v>
      </c>
      <c r="H5">
        <v>1168</v>
      </c>
      <c r="I5" t="str">
        <f t="shared" si="2"/>
        <v>Moderate</v>
      </c>
      <c r="J5" t="s">
        <v>9</v>
      </c>
      <c r="K5" t="str">
        <f t="shared" si="3"/>
        <v>Medium Risk</v>
      </c>
    </row>
    <row r="6" spans="1:11" x14ac:dyDescent="0.35">
      <c r="A6">
        <v>5</v>
      </c>
      <c r="B6">
        <v>41</v>
      </c>
      <c r="C6" t="str">
        <f t="shared" si="0"/>
        <v>Adult</v>
      </c>
      <c r="D6" t="s">
        <v>14</v>
      </c>
      <c r="E6" t="s">
        <v>8</v>
      </c>
      <c r="F6">
        <v>12</v>
      </c>
      <c r="G6" t="str">
        <f t="shared" si="1"/>
        <v>High</v>
      </c>
      <c r="H6">
        <v>1654</v>
      </c>
      <c r="I6" t="str">
        <f t="shared" si="2"/>
        <v>High Cost</v>
      </c>
      <c r="J6" t="s">
        <v>15</v>
      </c>
      <c r="K6" t="str">
        <f t="shared" si="3"/>
        <v>High Risk</v>
      </c>
    </row>
    <row r="7" spans="1:11" x14ac:dyDescent="0.35">
      <c r="A7">
        <v>6</v>
      </c>
      <c r="B7">
        <v>20</v>
      </c>
      <c r="C7" t="str">
        <f t="shared" si="0"/>
        <v>Young Adult</v>
      </c>
      <c r="D7" t="s">
        <v>7</v>
      </c>
      <c r="E7" t="s">
        <v>10</v>
      </c>
      <c r="F7">
        <v>4</v>
      </c>
      <c r="G7" t="str">
        <f t="shared" si="1"/>
        <v>Medium</v>
      </c>
      <c r="H7">
        <v>2415</v>
      </c>
      <c r="I7" t="str">
        <f t="shared" si="2"/>
        <v>High Cost</v>
      </c>
      <c r="J7" t="s">
        <v>16</v>
      </c>
      <c r="K7" t="str">
        <f t="shared" si="3"/>
        <v>Medium Risk</v>
      </c>
    </row>
    <row r="8" spans="1:11" x14ac:dyDescent="0.35">
      <c r="A8">
        <v>7</v>
      </c>
      <c r="B8">
        <v>39</v>
      </c>
      <c r="C8" t="str">
        <f t="shared" si="0"/>
        <v>Adult</v>
      </c>
      <c r="D8" t="s">
        <v>14</v>
      </c>
      <c r="E8" t="s">
        <v>17</v>
      </c>
      <c r="F8">
        <v>0</v>
      </c>
      <c r="G8" t="str">
        <f t="shared" si="1"/>
        <v>No Visits</v>
      </c>
      <c r="H8">
        <v>285</v>
      </c>
      <c r="I8" t="str">
        <f t="shared" si="2"/>
        <v>Low Cost</v>
      </c>
      <c r="J8" t="s">
        <v>15</v>
      </c>
      <c r="K8" t="str">
        <f t="shared" si="3"/>
        <v>Low Risk</v>
      </c>
    </row>
    <row r="9" spans="1:11" x14ac:dyDescent="0.35">
      <c r="A9">
        <v>8</v>
      </c>
      <c r="B9">
        <v>70</v>
      </c>
      <c r="C9" t="str">
        <f t="shared" si="0"/>
        <v>Senior</v>
      </c>
      <c r="D9" t="s">
        <v>7</v>
      </c>
      <c r="E9" t="s">
        <v>10</v>
      </c>
      <c r="F9">
        <v>0</v>
      </c>
      <c r="G9" t="str">
        <f t="shared" si="1"/>
        <v>No Visits</v>
      </c>
      <c r="H9">
        <v>2019</v>
      </c>
      <c r="I9" t="str">
        <f t="shared" si="2"/>
        <v>High Cost</v>
      </c>
      <c r="J9" t="s">
        <v>9</v>
      </c>
      <c r="K9" t="str">
        <f t="shared" si="3"/>
        <v>Low Risk</v>
      </c>
    </row>
    <row r="10" spans="1:11" x14ac:dyDescent="0.35">
      <c r="A10">
        <v>9</v>
      </c>
      <c r="B10">
        <v>19</v>
      </c>
      <c r="C10" t="str">
        <f t="shared" si="0"/>
        <v>Young Adult</v>
      </c>
      <c r="D10" t="s">
        <v>14</v>
      </c>
      <c r="E10" t="s">
        <v>17</v>
      </c>
      <c r="F10">
        <v>14</v>
      </c>
      <c r="G10" t="str">
        <f t="shared" si="1"/>
        <v>High</v>
      </c>
      <c r="H10">
        <v>383</v>
      </c>
      <c r="I10" t="str">
        <f t="shared" si="2"/>
        <v>Low Cost</v>
      </c>
      <c r="J10" t="s">
        <v>18</v>
      </c>
      <c r="K10" t="str">
        <f t="shared" si="3"/>
        <v>Low Risk</v>
      </c>
    </row>
    <row r="11" spans="1:11" x14ac:dyDescent="0.35">
      <c r="A11">
        <v>10</v>
      </c>
      <c r="B11">
        <v>47</v>
      </c>
      <c r="C11" t="str">
        <f t="shared" si="0"/>
        <v>Adult</v>
      </c>
      <c r="D11" t="s">
        <v>18</v>
      </c>
      <c r="E11" t="s">
        <v>12</v>
      </c>
      <c r="F11">
        <v>10</v>
      </c>
      <c r="G11" t="str">
        <f t="shared" si="1"/>
        <v>High</v>
      </c>
      <c r="H11">
        <v>1958</v>
      </c>
      <c r="I11" t="str">
        <f t="shared" si="2"/>
        <v>High Cost</v>
      </c>
      <c r="J11" t="s">
        <v>16</v>
      </c>
      <c r="K11" t="str">
        <f t="shared" si="3"/>
        <v>High Risk</v>
      </c>
    </row>
    <row r="12" spans="1:11" x14ac:dyDescent="0.35">
      <c r="A12">
        <v>11</v>
      </c>
      <c r="B12">
        <v>55</v>
      </c>
      <c r="C12" t="str">
        <f t="shared" si="0"/>
        <v>Adult</v>
      </c>
      <c r="D12" t="s">
        <v>7</v>
      </c>
      <c r="E12" t="s">
        <v>13</v>
      </c>
      <c r="F12">
        <v>10</v>
      </c>
      <c r="G12" t="str">
        <f t="shared" si="1"/>
        <v>High</v>
      </c>
      <c r="H12">
        <v>425</v>
      </c>
      <c r="I12" t="str">
        <f t="shared" si="2"/>
        <v>Low Cost</v>
      </c>
      <c r="J12" t="s">
        <v>16</v>
      </c>
      <c r="K12" t="str">
        <f t="shared" si="3"/>
        <v>Low Risk</v>
      </c>
    </row>
    <row r="13" spans="1:11" x14ac:dyDescent="0.35">
      <c r="A13">
        <v>12</v>
      </c>
      <c r="B13">
        <v>19</v>
      </c>
      <c r="C13" t="str">
        <f t="shared" si="0"/>
        <v>Young Adult</v>
      </c>
      <c r="D13" t="s">
        <v>14</v>
      </c>
      <c r="E13" t="s">
        <v>10</v>
      </c>
      <c r="F13">
        <v>10</v>
      </c>
      <c r="G13" t="str">
        <f t="shared" si="1"/>
        <v>High</v>
      </c>
      <c r="H13">
        <v>1210</v>
      </c>
      <c r="I13" t="str">
        <f t="shared" si="2"/>
        <v>Moderate</v>
      </c>
      <c r="J13" t="s">
        <v>11</v>
      </c>
      <c r="K13" t="str">
        <f t="shared" si="3"/>
        <v>Medium Risk</v>
      </c>
    </row>
    <row r="14" spans="1:11" x14ac:dyDescent="0.35">
      <c r="A14">
        <v>13</v>
      </c>
      <c r="B14">
        <v>81</v>
      </c>
      <c r="C14" t="str">
        <f t="shared" si="0"/>
        <v>Senior</v>
      </c>
      <c r="D14" t="s">
        <v>14</v>
      </c>
      <c r="E14" t="s">
        <v>18</v>
      </c>
      <c r="F14">
        <v>12</v>
      </c>
      <c r="G14" t="str">
        <f t="shared" si="1"/>
        <v>High</v>
      </c>
      <c r="H14">
        <v>2685</v>
      </c>
      <c r="I14" t="str">
        <f t="shared" si="2"/>
        <v>High Cost</v>
      </c>
      <c r="J14" t="s">
        <v>11</v>
      </c>
      <c r="K14" t="str">
        <f t="shared" si="3"/>
        <v>High Risk</v>
      </c>
    </row>
    <row r="15" spans="1:11" x14ac:dyDescent="0.35">
      <c r="A15">
        <v>14</v>
      </c>
      <c r="B15">
        <v>77</v>
      </c>
      <c r="C15" t="str">
        <f t="shared" si="0"/>
        <v>Senior</v>
      </c>
      <c r="D15" t="s">
        <v>14</v>
      </c>
      <c r="E15" t="s">
        <v>18</v>
      </c>
      <c r="F15">
        <v>0</v>
      </c>
      <c r="G15" t="str">
        <f t="shared" si="1"/>
        <v>No Visits</v>
      </c>
      <c r="H15">
        <v>1620</v>
      </c>
      <c r="I15" t="str">
        <f t="shared" si="2"/>
        <v>High Cost</v>
      </c>
      <c r="J15" t="s">
        <v>18</v>
      </c>
      <c r="K15" t="str">
        <f t="shared" si="3"/>
        <v>Low Risk</v>
      </c>
    </row>
    <row r="16" spans="1:11" x14ac:dyDescent="0.35">
      <c r="A16">
        <v>15</v>
      </c>
      <c r="B16">
        <v>38</v>
      </c>
      <c r="C16" t="str">
        <f t="shared" si="0"/>
        <v>Adult</v>
      </c>
      <c r="D16" t="s">
        <v>7</v>
      </c>
      <c r="E16" t="s">
        <v>18</v>
      </c>
      <c r="F16">
        <v>1</v>
      </c>
      <c r="G16" t="str">
        <f t="shared" si="1"/>
        <v>Low</v>
      </c>
      <c r="H16">
        <v>2610</v>
      </c>
      <c r="I16" t="str">
        <f t="shared" si="2"/>
        <v>High Cost</v>
      </c>
      <c r="J16" t="s">
        <v>18</v>
      </c>
      <c r="K16" t="str">
        <f t="shared" si="3"/>
        <v>Low Risk</v>
      </c>
    </row>
    <row r="17" spans="1:11" x14ac:dyDescent="0.35">
      <c r="A17">
        <v>16</v>
      </c>
      <c r="B17">
        <v>50</v>
      </c>
      <c r="C17" t="str">
        <f t="shared" si="0"/>
        <v>Adult</v>
      </c>
      <c r="D17" t="s">
        <v>14</v>
      </c>
      <c r="E17" t="s">
        <v>8</v>
      </c>
      <c r="F17">
        <v>8</v>
      </c>
      <c r="G17" t="str">
        <f t="shared" si="1"/>
        <v>High</v>
      </c>
      <c r="H17">
        <v>1369</v>
      </c>
      <c r="I17" t="str">
        <f t="shared" si="2"/>
        <v>Moderate</v>
      </c>
      <c r="J17" t="s">
        <v>16</v>
      </c>
      <c r="K17" t="str">
        <f t="shared" si="3"/>
        <v>Medium Risk</v>
      </c>
    </row>
    <row r="18" spans="1:11" x14ac:dyDescent="0.35">
      <c r="A18">
        <v>17</v>
      </c>
      <c r="B18">
        <v>75</v>
      </c>
      <c r="C18" t="str">
        <f t="shared" si="0"/>
        <v>Senior</v>
      </c>
      <c r="D18" t="s">
        <v>14</v>
      </c>
      <c r="E18" t="s">
        <v>12</v>
      </c>
      <c r="F18">
        <v>2</v>
      </c>
      <c r="G18" t="str">
        <f t="shared" si="1"/>
        <v>Low</v>
      </c>
      <c r="H18">
        <v>1905</v>
      </c>
      <c r="I18" t="str">
        <f t="shared" si="2"/>
        <v>High Cost</v>
      </c>
      <c r="J18" t="s">
        <v>18</v>
      </c>
      <c r="K18" t="str">
        <f t="shared" si="3"/>
        <v>Low Risk</v>
      </c>
    </row>
    <row r="19" spans="1:11" x14ac:dyDescent="0.35">
      <c r="A19">
        <v>18</v>
      </c>
      <c r="B19">
        <v>39</v>
      </c>
      <c r="C19" t="str">
        <f t="shared" si="0"/>
        <v>Adult</v>
      </c>
      <c r="D19" t="s">
        <v>18</v>
      </c>
      <c r="E19" t="s">
        <v>10</v>
      </c>
      <c r="F19">
        <v>0</v>
      </c>
      <c r="G19" t="str">
        <f t="shared" si="1"/>
        <v>No Visits</v>
      </c>
      <c r="H19">
        <v>1422</v>
      </c>
      <c r="I19" t="str">
        <f t="shared" si="2"/>
        <v>Moderate</v>
      </c>
      <c r="J19" t="s">
        <v>11</v>
      </c>
      <c r="K19" t="str">
        <f t="shared" si="3"/>
        <v>Medium Risk</v>
      </c>
    </row>
    <row r="20" spans="1:11" x14ac:dyDescent="0.35">
      <c r="A20">
        <v>19</v>
      </c>
      <c r="B20">
        <v>66</v>
      </c>
      <c r="C20" t="str">
        <f t="shared" si="0"/>
        <v>Senior</v>
      </c>
      <c r="D20" t="s">
        <v>14</v>
      </c>
      <c r="E20" t="s">
        <v>18</v>
      </c>
      <c r="F20">
        <v>0</v>
      </c>
      <c r="G20" t="str">
        <f t="shared" si="1"/>
        <v>No Visits</v>
      </c>
      <c r="H20">
        <v>922</v>
      </c>
      <c r="I20" t="str">
        <f t="shared" si="2"/>
        <v>Moderate</v>
      </c>
      <c r="J20" t="s">
        <v>11</v>
      </c>
      <c r="K20" t="str">
        <f t="shared" si="3"/>
        <v>Medium Risk</v>
      </c>
    </row>
    <row r="21" spans="1:11" x14ac:dyDescent="0.35">
      <c r="A21">
        <v>20</v>
      </c>
      <c r="B21">
        <v>76</v>
      </c>
      <c r="C21" t="str">
        <f t="shared" si="0"/>
        <v>Senior</v>
      </c>
      <c r="D21" t="s">
        <v>14</v>
      </c>
      <c r="E21" t="s">
        <v>8</v>
      </c>
      <c r="F21">
        <v>5</v>
      </c>
      <c r="G21" t="str">
        <f t="shared" si="1"/>
        <v>Medium</v>
      </c>
      <c r="H21">
        <v>1302</v>
      </c>
      <c r="I21" t="str">
        <f t="shared" si="2"/>
        <v>Moderate</v>
      </c>
      <c r="J21" t="s">
        <v>16</v>
      </c>
      <c r="K21" t="str">
        <f t="shared" si="3"/>
        <v>Medium Risk</v>
      </c>
    </row>
    <row r="22" spans="1:11" x14ac:dyDescent="0.35">
      <c r="A22">
        <v>21</v>
      </c>
      <c r="B22">
        <v>59</v>
      </c>
      <c r="C22" t="str">
        <f t="shared" si="0"/>
        <v>Senior</v>
      </c>
      <c r="D22" t="s">
        <v>14</v>
      </c>
      <c r="E22" t="s">
        <v>18</v>
      </c>
      <c r="F22">
        <v>10</v>
      </c>
      <c r="G22" t="str">
        <f t="shared" si="1"/>
        <v>High</v>
      </c>
      <c r="H22">
        <v>2367</v>
      </c>
      <c r="I22" t="str">
        <f t="shared" si="2"/>
        <v>High Cost</v>
      </c>
      <c r="J22" t="s">
        <v>15</v>
      </c>
      <c r="K22" t="str">
        <f t="shared" si="3"/>
        <v>High Risk</v>
      </c>
    </row>
    <row r="23" spans="1:11" x14ac:dyDescent="0.35">
      <c r="A23">
        <v>22</v>
      </c>
      <c r="B23">
        <v>77</v>
      </c>
      <c r="C23" t="str">
        <f t="shared" si="0"/>
        <v>Senior</v>
      </c>
      <c r="D23" t="s">
        <v>7</v>
      </c>
      <c r="E23" t="s">
        <v>10</v>
      </c>
      <c r="F23">
        <v>4</v>
      </c>
      <c r="G23" t="str">
        <f t="shared" si="1"/>
        <v>Medium</v>
      </c>
      <c r="H23">
        <v>1901</v>
      </c>
      <c r="I23" t="str">
        <f t="shared" si="2"/>
        <v>High Cost</v>
      </c>
      <c r="J23" t="s">
        <v>9</v>
      </c>
      <c r="K23" t="str">
        <f t="shared" si="3"/>
        <v>Medium Risk</v>
      </c>
    </row>
    <row r="24" spans="1:11" x14ac:dyDescent="0.35">
      <c r="A24">
        <v>23</v>
      </c>
      <c r="B24">
        <v>32</v>
      </c>
      <c r="C24" t="str">
        <f t="shared" si="0"/>
        <v>Young Adult</v>
      </c>
      <c r="D24" t="s">
        <v>18</v>
      </c>
      <c r="E24" t="s">
        <v>17</v>
      </c>
      <c r="F24">
        <v>4</v>
      </c>
      <c r="G24" t="str">
        <f t="shared" si="1"/>
        <v>Medium</v>
      </c>
      <c r="H24">
        <v>2895</v>
      </c>
      <c r="I24" t="str">
        <f t="shared" si="2"/>
        <v>High Cost</v>
      </c>
      <c r="J24" t="s">
        <v>11</v>
      </c>
      <c r="K24" t="str">
        <f t="shared" si="3"/>
        <v>Medium Risk</v>
      </c>
    </row>
    <row r="25" spans="1:11" x14ac:dyDescent="0.35">
      <c r="A25">
        <v>24</v>
      </c>
      <c r="B25">
        <v>79</v>
      </c>
      <c r="C25" t="str">
        <f t="shared" si="0"/>
        <v>Senior</v>
      </c>
      <c r="D25" t="s">
        <v>14</v>
      </c>
      <c r="E25" t="s">
        <v>10</v>
      </c>
      <c r="F25">
        <v>5</v>
      </c>
      <c r="G25" t="str">
        <f t="shared" si="1"/>
        <v>Medium</v>
      </c>
      <c r="H25">
        <v>1364</v>
      </c>
      <c r="I25" t="str">
        <f t="shared" si="2"/>
        <v>Moderate</v>
      </c>
      <c r="J25" t="s">
        <v>18</v>
      </c>
      <c r="K25" t="str">
        <f t="shared" si="3"/>
        <v>Medium Risk</v>
      </c>
    </row>
    <row r="26" spans="1:11" x14ac:dyDescent="0.35">
      <c r="A26">
        <v>25</v>
      </c>
      <c r="B26">
        <v>79</v>
      </c>
      <c r="C26" t="str">
        <f t="shared" si="0"/>
        <v>Senior</v>
      </c>
      <c r="D26" t="s">
        <v>7</v>
      </c>
      <c r="E26" t="s">
        <v>18</v>
      </c>
      <c r="F26">
        <v>2</v>
      </c>
      <c r="G26" t="str">
        <f t="shared" si="1"/>
        <v>Low</v>
      </c>
      <c r="H26">
        <v>774</v>
      </c>
      <c r="I26" t="str">
        <f t="shared" si="2"/>
        <v>Moderate</v>
      </c>
      <c r="J26" t="s">
        <v>18</v>
      </c>
      <c r="K26" t="str">
        <f t="shared" si="3"/>
        <v>Medium Risk</v>
      </c>
    </row>
    <row r="27" spans="1:11" x14ac:dyDescent="0.35">
      <c r="A27">
        <v>26</v>
      </c>
      <c r="B27">
        <v>64</v>
      </c>
      <c r="C27" t="str">
        <f t="shared" si="0"/>
        <v>Senior</v>
      </c>
      <c r="D27" t="s">
        <v>14</v>
      </c>
      <c r="E27" t="s">
        <v>10</v>
      </c>
      <c r="F27">
        <v>4</v>
      </c>
      <c r="G27" t="str">
        <f t="shared" si="1"/>
        <v>Medium</v>
      </c>
      <c r="H27">
        <v>2102</v>
      </c>
      <c r="I27" t="str">
        <f t="shared" si="2"/>
        <v>High Cost</v>
      </c>
      <c r="J27" t="s">
        <v>11</v>
      </c>
      <c r="K27" t="str">
        <f t="shared" si="3"/>
        <v>Medium Risk</v>
      </c>
    </row>
    <row r="28" spans="1:11" x14ac:dyDescent="0.35">
      <c r="A28">
        <v>27</v>
      </c>
      <c r="B28">
        <v>79</v>
      </c>
      <c r="C28" t="str">
        <f t="shared" si="0"/>
        <v>Senior</v>
      </c>
      <c r="D28" t="s">
        <v>18</v>
      </c>
      <c r="E28" t="s">
        <v>10</v>
      </c>
      <c r="F28">
        <v>4</v>
      </c>
      <c r="G28" t="str">
        <f t="shared" si="1"/>
        <v>Medium</v>
      </c>
      <c r="H28">
        <v>2948</v>
      </c>
      <c r="I28" t="str">
        <f t="shared" si="2"/>
        <v>High Cost</v>
      </c>
      <c r="J28" t="s">
        <v>15</v>
      </c>
      <c r="K28" t="str">
        <f t="shared" si="3"/>
        <v>Medium Risk</v>
      </c>
    </row>
    <row r="29" spans="1:11" x14ac:dyDescent="0.35">
      <c r="A29">
        <v>28</v>
      </c>
      <c r="B29">
        <v>68</v>
      </c>
      <c r="C29" t="str">
        <f t="shared" si="0"/>
        <v>Senior</v>
      </c>
      <c r="D29" t="s">
        <v>7</v>
      </c>
      <c r="E29" t="s">
        <v>18</v>
      </c>
      <c r="F29">
        <v>9</v>
      </c>
      <c r="G29" t="str">
        <f t="shared" si="1"/>
        <v>High</v>
      </c>
      <c r="H29">
        <v>127</v>
      </c>
      <c r="I29" t="str">
        <f t="shared" si="2"/>
        <v>Low Cost</v>
      </c>
      <c r="J29" t="s">
        <v>15</v>
      </c>
      <c r="K29" t="str">
        <f t="shared" si="3"/>
        <v>Low Risk</v>
      </c>
    </row>
    <row r="30" spans="1:11" x14ac:dyDescent="0.35">
      <c r="A30">
        <v>29</v>
      </c>
      <c r="B30">
        <v>72</v>
      </c>
      <c r="C30" t="str">
        <f t="shared" si="0"/>
        <v>Senior</v>
      </c>
      <c r="D30" t="s">
        <v>18</v>
      </c>
      <c r="E30" t="s">
        <v>12</v>
      </c>
      <c r="F30">
        <v>9</v>
      </c>
      <c r="G30" t="str">
        <f t="shared" si="1"/>
        <v>High</v>
      </c>
      <c r="H30">
        <v>2671</v>
      </c>
      <c r="I30" t="str">
        <f t="shared" si="2"/>
        <v>High Cost</v>
      </c>
      <c r="J30" t="s">
        <v>18</v>
      </c>
      <c r="K30" t="str">
        <f t="shared" si="3"/>
        <v>High Risk</v>
      </c>
    </row>
    <row r="31" spans="1:11" x14ac:dyDescent="0.35">
      <c r="A31">
        <v>30</v>
      </c>
      <c r="B31">
        <v>81</v>
      </c>
      <c r="C31" t="str">
        <f t="shared" si="0"/>
        <v>Senior</v>
      </c>
      <c r="D31" t="s">
        <v>14</v>
      </c>
      <c r="E31" t="s">
        <v>10</v>
      </c>
      <c r="F31">
        <v>10</v>
      </c>
      <c r="G31" t="str">
        <f t="shared" si="1"/>
        <v>High</v>
      </c>
      <c r="H31">
        <v>181</v>
      </c>
      <c r="I31" t="str">
        <f t="shared" si="2"/>
        <v>Low Cost</v>
      </c>
      <c r="J31" t="s">
        <v>18</v>
      </c>
      <c r="K31" t="str">
        <f t="shared" si="3"/>
        <v>Low Risk</v>
      </c>
    </row>
    <row r="32" spans="1:11" x14ac:dyDescent="0.35">
      <c r="A32">
        <v>31</v>
      </c>
      <c r="B32">
        <v>20</v>
      </c>
      <c r="C32" t="str">
        <f t="shared" si="0"/>
        <v>Young Adult</v>
      </c>
      <c r="D32" t="s">
        <v>7</v>
      </c>
      <c r="E32" t="s">
        <v>18</v>
      </c>
      <c r="F32">
        <v>13</v>
      </c>
      <c r="G32" t="str">
        <f t="shared" si="1"/>
        <v>High</v>
      </c>
      <c r="H32">
        <v>650</v>
      </c>
      <c r="I32" t="str">
        <f t="shared" si="2"/>
        <v>Moderate</v>
      </c>
      <c r="J32" t="s">
        <v>18</v>
      </c>
      <c r="K32" t="str">
        <f t="shared" si="3"/>
        <v>Medium Risk</v>
      </c>
    </row>
    <row r="33" spans="1:11" x14ac:dyDescent="0.35">
      <c r="A33">
        <v>32</v>
      </c>
      <c r="B33">
        <v>68</v>
      </c>
      <c r="C33" t="str">
        <f t="shared" si="0"/>
        <v>Senior</v>
      </c>
      <c r="D33" t="s">
        <v>14</v>
      </c>
      <c r="E33" t="s">
        <v>8</v>
      </c>
      <c r="F33">
        <v>8</v>
      </c>
      <c r="G33" t="str">
        <f t="shared" si="1"/>
        <v>High</v>
      </c>
      <c r="H33">
        <v>1822</v>
      </c>
      <c r="I33" t="str">
        <f t="shared" si="2"/>
        <v>High Cost</v>
      </c>
      <c r="J33" t="s">
        <v>18</v>
      </c>
      <c r="K33" t="str">
        <f t="shared" si="3"/>
        <v>High Risk</v>
      </c>
    </row>
    <row r="34" spans="1:11" x14ac:dyDescent="0.35">
      <c r="A34">
        <v>33</v>
      </c>
      <c r="B34">
        <v>24</v>
      </c>
      <c r="C34" t="str">
        <f t="shared" si="0"/>
        <v>Young Adult</v>
      </c>
      <c r="D34" t="s">
        <v>14</v>
      </c>
      <c r="E34" t="s">
        <v>17</v>
      </c>
      <c r="F34">
        <v>13</v>
      </c>
      <c r="G34" t="str">
        <f t="shared" si="1"/>
        <v>High</v>
      </c>
      <c r="H34">
        <v>1115</v>
      </c>
      <c r="I34" t="str">
        <f t="shared" si="2"/>
        <v>Moderate</v>
      </c>
      <c r="J34" t="s">
        <v>9</v>
      </c>
      <c r="K34" t="str">
        <f t="shared" si="3"/>
        <v>Medium Risk</v>
      </c>
    </row>
    <row r="35" spans="1:11" x14ac:dyDescent="0.35">
      <c r="A35">
        <v>34</v>
      </c>
      <c r="B35">
        <v>38</v>
      </c>
      <c r="C35" t="str">
        <f t="shared" si="0"/>
        <v>Adult</v>
      </c>
      <c r="D35" t="s">
        <v>14</v>
      </c>
      <c r="E35" t="s">
        <v>17</v>
      </c>
      <c r="F35">
        <v>0</v>
      </c>
      <c r="G35" t="str">
        <f t="shared" si="1"/>
        <v>No Visits</v>
      </c>
      <c r="H35">
        <v>2186</v>
      </c>
      <c r="I35" t="str">
        <f t="shared" si="2"/>
        <v>High Cost</v>
      </c>
      <c r="J35" t="s">
        <v>9</v>
      </c>
      <c r="K35" t="str">
        <f t="shared" si="3"/>
        <v>Low Risk</v>
      </c>
    </row>
    <row r="36" spans="1:11" x14ac:dyDescent="0.35">
      <c r="A36">
        <v>35</v>
      </c>
      <c r="B36">
        <v>56</v>
      </c>
      <c r="C36" t="str">
        <f t="shared" si="0"/>
        <v>Senior</v>
      </c>
      <c r="D36" t="s">
        <v>7</v>
      </c>
      <c r="E36" t="s">
        <v>10</v>
      </c>
      <c r="F36">
        <v>12</v>
      </c>
      <c r="G36" t="str">
        <f t="shared" si="1"/>
        <v>High</v>
      </c>
      <c r="H36">
        <v>2499</v>
      </c>
      <c r="I36" t="str">
        <f t="shared" si="2"/>
        <v>High Cost</v>
      </c>
      <c r="J36" t="s">
        <v>16</v>
      </c>
      <c r="K36" t="str">
        <f t="shared" si="3"/>
        <v>High Risk</v>
      </c>
    </row>
    <row r="37" spans="1:11" x14ac:dyDescent="0.35">
      <c r="A37">
        <v>36</v>
      </c>
      <c r="B37">
        <v>35</v>
      </c>
      <c r="C37" t="str">
        <f t="shared" si="0"/>
        <v>Young Adult</v>
      </c>
      <c r="D37" t="s">
        <v>7</v>
      </c>
      <c r="E37" t="s">
        <v>12</v>
      </c>
      <c r="F37">
        <v>12</v>
      </c>
      <c r="G37" t="str">
        <f t="shared" si="1"/>
        <v>High</v>
      </c>
      <c r="H37">
        <v>2393</v>
      </c>
      <c r="I37" t="str">
        <f t="shared" si="2"/>
        <v>High Cost</v>
      </c>
      <c r="J37" t="s">
        <v>18</v>
      </c>
      <c r="K37" t="str">
        <f t="shared" si="3"/>
        <v>High Risk</v>
      </c>
    </row>
    <row r="38" spans="1:11" x14ac:dyDescent="0.35">
      <c r="A38">
        <v>37</v>
      </c>
      <c r="B38">
        <v>21</v>
      </c>
      <c r="C38" t="str">
        <f t="shared" si="0"/>
        <v>Young Adult</v>
      </c>
      <c r="D38" t="s">
        <v>18</v>
      </c>
      <c r="E38" t="s">
        <v>12</v>
      </c>
      <c r="F38">
        <v>3</v>
      </c>
      <c r="G38" t="str">
        <f t="shared" si="1"/>
        <v>Medium</v>
      </c>
      <c r="H38">
        <v>1913</v>
      </c>
      <c r="I38" t="str">
        <f t="shared" si="2"/>
        <v>High Cost</v>
      </c>
      <c r="J38" t="s">
        <v>11</v>
      </c>
      <c r="K38" t="str">
        <f t="shared" si="3"/>
        <v>Medium Risk</v>
      </c>
    </row>
    <row r="39" spans="1:11" x14ac:dyDescent="0.35">
      <c r="A39">
        <v>38</v>
      </c>
      <c r="B39">
        <v>77</v>
      </c>
      <c r="C39" t="str">
        <f t="shared" si="0"/>
        <v>Senior</v>
      </c>
      <c r="D39" t="s">
        <v>18</v>
      </c>
      <c r="E39" t="s">
        <v>8</v>
      </c>
      <c r="F39">
        <v>0</v>
      </c>
      <c r="G39" t="str">
        <f t="shared" si="1"/>
        <v>No Visits</v>
      </c>
      <c r="H39">
        <v>1368</v>
      </c>
      <c r="I39" t="str">
        <f t="shared" si="2"/>
        <v>Moderate</v>
      </c>
      <c r="J39" t="s">
        <v>18</v>
      </c>
      <c r="K39" t="str">
        <f t="shared" si="3"/>
        <v>Medium Risk</v>
      </c>
    </row>
    <row r="40" spans="1:11" x14ac:dyDescent="0.35">
      <c r="A40">
        <v>39</v>
      </c>
      <c r="B40">
        <v>31</v>
      </c>
      <c r="C40" t="str">
        <f t="shared" si="0"/>
        <v>Young Adult</v>
      </c>
      <c r="D40" t="s">
        <v>14</v>
      </c>
      <c r="E40" t="s">
        <v>10</v>
      </c>
      <c r="F40">
        <v>10</v>
      </c>
      <c r="G40" t="str">
        <f t="shared" si="1"/>
        <v>High</v>
      </c>
      <c r="H40">
        <v>665</v>
      </c>
      <c r="I40" t="str">
        <f t="shared" si="2"/>
        <v>Moderate</v>
      </c>
      <c r="J40" t="s">
        <v>11</v>
      </c>
      <c r="K40" t="str">
        <f t="shared" si="3"/>
        <v>Medium Risk</v>
      </c>
    </row>
    <row r="41" spans="1:11" x14ac:dyDescent="0.35">
      <c r="A41">
        <v>40</v>
      </c>
      <c r="B41">
        <v>26</v>
      </c>
      <c r="C41" t="str">
        <f t="shared" si="0"/>
        <v>Young Adult</v>
      </c>
      <c r="D41" t="s">
        <v>7</v>
      </c>
      <c r="E41" t="s">
        <v>17</v>
      </c>
      <c r="F41">
        <v>7</v>
      </c>
      <c r="G41" t="str">
        <f t="shared" si="1"/>
        <v>High</v>
      </c>
      <c r="H41">
        <v>2897</v>
      </c>
      <c r="I41" t="str">
        <f t="shared" si="2"/>
        <v>High Cost</v>
      </c>
      <c r="J41" t="s">
        <v>15</v>
      </c>
      <c r="K41" t="str">
        <f t="shared" si="3"/>
        <v>High Risk</v>
      </c>
    </row>
    <row r="42" spans="1:11" x14ac:dyDescent="0.35">
      <c r="A42">
        <v>41</v>
      </c>
      <c r="B42">
        <v>70</v>
      </c>
      <c r="C42" t="str">
        <f t="shared" si="0"/>
        <v>Senior</v>
      </c>
      <c r="D42" t="s">
        <v>14</v>
      </c>
      <c r="E42" t="s">
        <v>12</v>
      </c>
      <c r="F42">
        <v>1</v>
      </c>
      <c r="G42" t="str">
        <f t="shared" si="1"/>
        <v>Low</v>
      </c>
      <c r="H42">
        <v>2519</v>
      </c>
      <c r="I42" t="str">
        <f t="shared" si="2"/>
        <v>High Cost</v>
      </c>
      <c r="J42" t="s">
        <v>18</v>
      </c>
      <c r="K42" t="str">
        <f t="shared" si="3"/>
        <v>Low Risk</v>
      </c>
    </row>
    <row r="43" spans="1:11" x14ac:dyDescent="0.35">
      <c r="A43">
        <v>42</v>
      </c>
      <c r="B43">
        <v>19</v>
      </c>
      <c r="C43" t="str">
        <f t="shared" si="0"/>
        <v>Young Adult</v>
      </c>
      <c r="D43" t="s">
        <v>18</v>
      </c>
      <c r="E43" t="s">
        <v>10</v>
      </c>
      <c r="F43">
        <v>7</v>
      </c>
      <c r="G43" t="str">
        <f t="shared" si="1"/>
        <v>High</v>
      </c>
      <c r="H43">
        <v>1938</v>
      </c>
      <c r="I43" t="str">
        <f t="shared" si="2"/>
        <v>High Cost</v>
      </c>
      <c r="J43" t="s">
        <v>15</v>
      </c>
      <c r="K43" t="str">
        <f t="shared" si="3"/>
        <v>High Risk</v>
      </c>
    </row>
    <row r="44" spans="1:11" x14ac:dyDescent="0.35">
      <c r="A44">
        <v>43</v>
      </c>
      <c r="B44">
        <v>77</v>
      </c>
      <c r="C44" t="str">
        <f t="shared" si="0"/>
        <v>Senior</v>
      </c>
      <c r="D44" t="s">
        <v>18</v>
      </c>
      <c r="E44" t="s">
        <v>18</v>
      </c>
      <c r="F44">
        <v>6</v>
      </c>
      <c r="G44" t="str">
        <f t="shared" si="1"/>
        <v>High</v>
      </c>
      <c r="H44">
        <v>1096</v>
      </c>
      <c r="I44" t="str">
        <f t="shared" si="2"/>
        <v>Moderate</v>
      </c>
      <c r="J44" t="s">
        <v>9</v>
      </c>
      <c r="K44" t="str">
        <f t="shared" si="3"/>
        <v>Medium Risk</v>
      </c>
    </row>
    <row r="45" spans="1:11" x14ac:dyDescent="0.35">
      <c r="A45">
        <v>44</v>
      </c>
      <c r="B45">
        <v>61</v>
      </c>
      <c r="C45" t="str">
        <f t="shared" si="0"/>
        <v>Senior</v>
      </c>
      <c r="D45" t="s">
        <v>14</v>
      </c>
      <c r="E45" t="s">
        <v>12</v>
      </c>
      <c r="F45">
        <v>1</v>
      </c>
      <c r="G45" t="str">
        <f t="shared" si="1"/>
        <v>Low</v>
      </c>
      <c r="H45">
        <v>624</v>
      </c>
      <c r="I45" t="str">
        <f t="shared" si="2"/>
        <v>Moderate</v>
      </c>
      <c r="J45" t="s">
        <v>9</v>
      </c>
      <c r="K45" t="str">
        <f t="shared" si="3"/>
        <v>Medium Risk</v>
      </c>
    </row>
    <row r="46" spans="1:11" x14ac:dyDescent="0.35">
      <c r="A46">
        <v>45</v>
      </c>
      <c r="B46">
        <v>25</v>
      </c>
      <c r="C46" t="str">
        <f t="shared" si="0"/>
        <v>Young Adult</v>
      </c>
      <c r="D46" t="s">
        <v>18</v>
      </c>
      <c r="E46" t="s">
        <v>18</v>
      </c>
      <c r="F46">
        <v>2</v>
      </c>
      <c r="G46" t="str">
        <f t="shared" si="1"/>
        <v>Low</v>
      </c>
      <c r="H46">
        <v>2240</v>
      </c>
      <c r="I46" t="str">
        <f t="shared" si="2"/>
        <v>High Cost</v>
      </c>
      <c r="J46" t="s">
        <v>16</v>
      </c>
      <c r="K46" t="str">
        <f t="shared" si="3"/>
        <v>Low Risk</v>
      </c>
    </row>
    <row r="47" spans="1:11" x14ac:dyDescent="0.35">
      <c r="A47">
        <v>46</v>
      </c>
      <c r="B47">
        <v>64</v>
      </c>
      <c r="C47" t="str">
        <f t="shared" si="0"/>
        <v>Senior</v>
      </c>
      <c r="D47" t="s">
        <v>14</v>
      </c>
      <c r="E47" t="s">
        <v>18</v>
      </c>
      <c r="F47">
        <v>11</v>
      </c>
      <c r="G47" t="str">
        <f t="shared" si="1"/>
        <v>High</v>
      </c>
      <c r="H47">
        <v>1042</v>
      </c>
      <c r="I47" t="str">
        <f t="shared" si="2"/>
        <v>Moderate</v>
      </c>
      <c r="J47" t="s">
        <v>18</v>
      </c>
      <c r="K47" t="str">
        <f t="shared" si="3"/>
        <v>Medium Risk</v>
      </c>
    </row>
    <row r="48" spans="1:11" x14ac:dyDescent="0.35">
      <c r="A48">
        <v>47</v>
      </c>
      <c r="B48">
        <v>52</v>
      </c>
      <c r="C48" t="str">
        <f t="shared" si="0"/>
        <v>Adult</v>
      </c>
      <c r="D48" t="s">
        <v>7</v>
      </c>
      <c r="E48" t="s">
        <v>12</v>
      </c>
      <c r="F48">
        <v>0</v>
      </c>
      <c r="G48" t="str">
        <f t="shared" si="1"/>
        <v>No Visits</v>
      </c>
      <c r="H48">
        <v>2762</v>
      </c>
      <c r="I48" t="str">
        <f t="shared" si="2"/>
        <v>High Cost</v>
      </c>
      <c r="J48" t="s">
        <v>15</v>
      </c>
      <c r="K48" t="str">
        <f t="shared" si="3"/>
        <v>Low Risk</v>
      </c>
    </row>
    <row r="49" spans="1:11" x14ac:dyDescent="0.35">
      <c r="A49">
        <v>48</v>
      </c>
      <c r="B49">
        <v>53</v>
      </c>
      <c r="C49" t="str">
        <f t="shared" si="0"/>
        <v>Adult</v>
      </c>
      <c r="D49" t="s">
        <v>14</v>
      </c>
      <c r="E49" t="s">
        <v>17</v>
      </c>
      <c r="F49">
        <v>11</v>
      </c>
      <c r="G49" t="str">
        <f t="shared" si="1"/>
        <v>High</v>
      </c>
      <c r="H49">
        <v>2242</v>
      </c>
      <c r="I49" t="str">
        <f t="shared" si="2"/>
        <v>High Cost</v>
      </c>
      <c r="J49" t="s">
        <v>11</v>
      </c>
      <c r="K49" t="str">
        <f t="shared" si="3"/>
        <v>High Risk</v>
      </c>
    </row>
    <row r="50" spans="1:11" x14ac:dyDescent="0.35">
      <c r="A50">
        <v>49</v>
      </c>
      <c r="B50">
        <v>67</v>
      </c>
      <c r="C50" t="str">
        <f t="shared" si="0"/>
        <v>Senior</v>
      </c>
      <c r="D50" t="s">
        <v>7</v>
      </c>
      <c r="E50" t="s">
        <v>13</v>
      </c>
      <c r="F50">
        <v>4</v>
      </c>
      <c r="G50" t="str">
        <f t="shared" si="1"/>
        <v>Medium</v>
      </c>
      <c r="H50">
        <v>1298</v>
      </c>
      <c r="I50" t="str">
        <f t="shared" si="2"/>
        <v>Moderate</v>
      </c>
      <c r="J50" t="s">
        <v>9</v>
      </c>
      <c r="K50" t="str">
        <f t="shared" si="3"/>
        <v>Medium Risk</v>
      </c>
    </row>
    <row r="51" spans="1:11" x14ac:dyDescent="0.35">
      <c r="A51">
        <v>50</v>
      </c>
      <c r="B51">
        <v>21</v>
      </c>
      <c r="C51" t="str">
        <f t="shared" si="0"/>
        <v>Young Adult</v>
      </c>
      <c r="D51" t="s">
        <v>18</v>
      </c>
      <c r="E51" t="s">
        <v>18</v>
      </c>
      <c r="F51">
        <v>10</v>
      </c>
      <c r="G51" t="str">
        <f t="shared" si="1"/>
        <v>High</v>
      </c>
      <c r="H51">
        <v>552</v>
      </c>
      <c r="I51" t="str">
        <f t="shared" si="2"/>
        <v>Moderate</v>
      </c>
      <c r="J51" t="s">
        <v>9</v>
      </c>
      <c r="K51" t="str">
        <f t="shared" si="3"/>
        <v>Medium Risk</v>
      </c>
    </row>
    <row r="52" spans="1:11" x14ac:dyDescent="0.35">
      <c r="A52">
        <v>51</v>
      </c>
      <c r="B52">
        <v>19</v>
      </c>
      <c r="C52" t="str">
        <f t="shared" si="0"/>
        <v>Young Adult</v>
      </c>
      <c r="D52" t="s">
        <v>18</v>
      </c>
      <c r="E52" t="s">
        <v>8</v>
      </c>
      <c r="F52">
        <v>0</v>
      </c>
      <c r="G52" t="str">
        <f t="shared" si="1"/>
        <v>No Visits</v>
      </c>
      <c r="H52">
        <v>2047</v>
      </c>
      <c r="I52" t="str">
        <f t="shared" si="2"/>
        <v>High Cost</v>
      </c>
      <c r="J52" t="s">
        <v>11</v>
      </c>
      <c r="K52" t="str">
        <f t="shared" si="3"/>
        <v>Low Risk</v>
      </c>
    </row>
    <row r="53" spans="1:11" x14ac:dyDescent="0.35">
      <c r="A53">
        <v>52</v>
      </c>
      <c r="B53">
        <v>23</v>
      </c>
      <c r="C53" t="str">
        <f t="shared" si="0"/>
        <v>Young Adult</v>
      </c>
      <c r="D53" t="s">
        <v>14</v>
      </c>
      <c r="E53" t="s">
        <v>8</v>
      </c>
      <c r="F53">
        <v>14</v>
      </c>
      <c r="G53" t="str">
        <f t="shared" si="1"/>
        <v>High</v>
      </c>
      <c r="H53">
        <v>870</v>
      </c>
      <c r="I53" t="str">
        <f t="shared" si="2"/>
        <v>Moderate</v>
      </c>
      <c r="J53" t="s">
        <v>15</v>
      </c>
      <c r="K53" t="str">
        <f t="shared" si="3"/>
        <v>Medium Risk</v>
      </c>
    </row>
    <row r="54" spans="1:11" x14ac:dyDescent="0.35">
      <c r="A54">
        <v>53</v>
      </c>
      <c r="B54">
        <v>71</v>
      </c>
      <c r="C54" t="str">
        <f t="shared" si="0"/>
        <v>Senior</v>
      </c>
      <c r="D54" t="s">
        <v>14</v>
      </c>
      <c r="E54" t="s">
        <v>17</v>
      </c>
      <c r="F54">
        <v>14</v>
      </c>
      <c r="G54" t="str">
        <f t="shared" si="1"/>
        <v>High</v>
      </c>
      <c r="H54">
        <v>2201</v>
      </c>
      <c r="I54" t="str">
        <f t="shared" si="2"/>
        <v>High Cost</v>
      </c>
      <c r="J54" t="s">
        <v>15</v>
      </c>
      <c r="K54" t="str">
        <f t="shared" si="3"/>
        <v>High Risk</v>
      </c>
    </row>
    <row r="55" spans="1:11" x14ac:dyDescent="0.35">
      <c r="A55">
        <v>54</v>
      </c>
      <c r="B55">
        <v>21</v>
      </c>
      <c r="C55" t="str">
        <f t="shared" si="0"/>
        <v>Young Adult</v>
      </c>
      <c r="D55" t="s">
        <v>7</v>
      </c>
      <c r="E55" t="s">
        <v>12</v>
      </c>
      <c r="F55">
        <v>4</v>
      </c>
      <c r="G55" t="str">
        <f t="shared" si="1"/>
        <v>Medium</v>
      </c>
      <c r="H55">
        <v>2020</v>
      </c>
      <c r="I55" t="str">
        <f t="shared" si="2"/>
        <v>High Cost</v>
      </c>
      <c r="J55" t="s">
        <v>18</v>
      </c>
      <c r="K55" t="str">
        <f t="shared" si="3"/>
        <v>Medium Risk</v>
      </c>
    </row>
    <row r="56" spans="1:11" x14ac:dyDescent="0.35">
      <c r="A56">
        <v>55</v>
      </c>
      <c r="B56">
        <v>71</v>
      </c>
      <c r="C56" t="str">
        <f t="shared" si="0"/>
        <v>Senior</v>
      </c>
      <c r="D56" t="s">
        <v>14</v>
      </c>
      <c r="E56" t="s">
        <v>10</v>
      </c>
      <c r="F56">
        <v>13</v>
      </c>
      <c r="G56" t="str">
        <f t="shared" si="1"/>
        <v>High</v>
      </c>
      <c r="H56">
        <v>247</v>
      </c>
      <c r="I56" t="str">
        <f t="shared" si="2"/>
        <v>Low Cost</v>
      </c>
      <c r="J56" t="s">
        <v>18</v>
      </c>
      <c r="K56" t="str">
        <f t="shared" si="3"/>
        <v>Low Risk</v>
      </c>
    </row>
    <row r="57" spans="1:11" x14ac:dyDescent="0.35">
      <c r="A57">
        <v>56</v>
      </c>
      <c r="B57">
        <v>80</v>
      </c>
      <c r="C57" t="str">
        <f t="shared" si="0"/>
        <v>Senior</v>
      </c>
      <c r="D57" t="s">
        <v>7</v>
      </c>
      <c r="E57" t="s">
        <v>12</v>
      </c>
      <c r="F57">
        <v>1</v>
      </c>
      <c r="G57" t="str">
        <f t="shared" si="1"/>
        <v>Low</v>
      </c>
      <c r="H57">
        <v>1719</v>
      </c>
      <c r="I57" t="str">
        <f t="shared" si="2"/>
        <v>High Cost</v>
      </c>
      <c r="J57" t="s">
        <v>18</v>
      </c>
      <c r="K57" t="str">
        <f t="shared" si="3"/>
        <v>Low Risk</v>
      </c>
    </row>
    <row r="58" spans="1:11" x14ac:dyDescent="0.35">
      <c r="A58">
        <v>57</v>
      </c>
      <c r="B58">
        <v>35</v>
      </c>
      <c r="C58" t="str">
        <f t="shared" si="0"/>
        <v>Young Adult</v>
      </c>
      <c r="D58" t="s">
        <v>7</v>
      </c>
      <c r="E58" t="s">
        <v>17</v>
      </c>
      <c r="F58">
        <v>10</v>
      </c>
      <c r="G58" t="str">
        <f t="shared" si="1"/>
        <v>High</v>
      </c>
      <c r="H58">
        <v>2676</v>
      </c>
      <c r="I58" t="str">
        <f t="shared" si="2"/>
        <v>High Cost</v>
      </c>
      <c r="J58" t="s">
        <v>18</v>
      </c>
      <c r="K58" t="str">
        <f t="shared" si="3"/>
        <v>High Risk</v>
      </c>
    </row>
    <row r="59" spans="1:11" x14ac:dyDescent="0.35">
      <c r="A59">
        <v>58</v>
      </c>
      <c r="B59">
        <v>61</v>
      </c>
      <c r="C59" t="str">
        <f t="shared" si="0"/>
        <v>Senior</v>
      </c>
      <c r="D59" t="s">
        <v>14</v>
      </c>
      <c r="E59" t="s">
        <v>8</v>
      </c>
      <c r="F59">
        <v>6</v>
      </c>
      <c r="G59" t="str">
        <f t="shared" si="1"/>
        <v>High</v>
      </c>
      <c r="H59">
        <v>2488</v>
      </c>
      <c r="I59" t="str">
        <f t="shared" si="2"/>
        <v>High Cost</v>
      </c>
      <c r="J59" t="s">
        <v>16</v>
      </c>
      <c r="K59" t="str">
        <f t="shared" si="3"/>
        <v>High Risk</v>
      </c>
    </row>
    <row r="60" spans="1:11" x14ac:dyDescent="0.35">
      <c r="A60">
        <v>59</v>
      </c>
      <c r="B60">
        <v>51</v>
      </c>
      <c r="C60" t="str">
        <f t="shared" si="0"/>
        <v>Adult</v>
      </c>
      <c r="D60" t="s">
        <v>7</v>
      </c>
      <c r="E60" t="s">
        <v>12</v>
      </c>
      <c r="F60">
        <v>5</v>
      </c>
      <c r="G60" t="str">
        <f t="shared" si="1"/>
        <v>Medium</v>
      </c>
      <c r="H60">
        <v>1252</v>
      </c>
      <c r="I60" t="str">
        <f t="shared" si="2"/>
        <v>Moderate</v>
      </c>
      <c r="J60" t="s">
        <v>9</v>
      </c>
      <c r="K60" t="str">
        <f t="shared" si="3"/>
        <v>Medium Risk</v>
      </c>
    </row>
    <row r="61" spans="1:11" x14ac:dyDescent="0.35">
      <c r="A61">
        <v>60</v>
      </c>
      <c r="B61">
        <v>79</v>
      </c>
      <c r="C61" t="str">
        <f t="shared" si="0"/>
        <v>Senior</v>
      </c>
      <c r="D61" t="s">
        <v>7</v>
      </c>
      <c r="E61" t="s">
        <v>8</v>
      </c>
      <c r="F61">
        <v>1</v>
      </c>
      <c r="G61" t="str">
        <f t="shared" si="1"/>
        <v>Low</v>
      </c>
      <c r="H61">
        <v>2651</v>
      </c>
      <c r="I61" t="str">
        <f t="shared" si="2"/>
        <v>High Cost</v>
      </c>
      <c r="J61" t="s">
        <v>18</v>
      </c>
      <c r="K61" t="str">
        <f t="shared" si="3"/>
        <v>Low Risk</v>
      </c>
    </row>
    <row r="62" spans="1:11" x14ac:dyDescent="0.35">
      <c r="A62">
        <v>61</v>
      </c>
      <c r="B62">
        <v>31</v>
      </c>
      <c r="C62" t="str">
        <f t="shared" si="0"/>
        <v>Young Adult</v>
      </c>
      <c r="D62" t="s">
        <v>14</v>
      </c>
      <c r="E62" t="s">
        <v>18</v>
      </c>
      <c r="F62">
        <v>5</v>
      </c>
      <c r="G62" t="str">
        <f t="shared" si="1"/>
        <v>Medium</v>
      </c>
      <c r="H62">
        <v>1521</v>
      </c>
      <c r="I62" t="str">
        <f t="shared" si="2"/>
        <v>High Cost</v>
      </c>
      <c r="J62" t="s">
        <v>15</v>
      </c>
      <c r="K62" t="str">
        <f t="shared" si="3"/>
        <v>Medium Risk</v>
      </c>
    </row>
    <row r="63" spans="1:11" x14ac:dyDescent="0.35">
      <c r="A63">
        <v>62</v>
      </c>
      <c r="B63">
        <v>65</v>
      </c>
      <c r="C63" t="str">
        <f t="shared" si="0"/>
        <v>Senior</v>
      </c>
      <c r="D63" t="s">
        <v>7</v>
      </c>
      <c r="E63" t="s">
        <v>10</v>
      </c>
      <c r="F63">
        <v>1</v>
      </c>
      <c r="G63" t="str">
        <f t="shared" si="1"/>
        <v>Low</v>
      </c>
      <c r="H63">
        <v>1696</v>
      </c>
      <c r="I63" t="str">
        <f t="shared" si="2"/>
        <v>High Cost</v>
      </c>
      <c r="J63" t="s">
        <v>11</v>
      </c>
      <c r="K63" t="str">
        <f t="shared" si="3"/>
        <v>Low Risk</v>
      </c>
    </row>
    <row r="64" spans="1:11" x14ac:dyDescent="0.35">
      <c r="A64">
        <v>63</v>
      </c>
      <c r="B64">
        <v>32</v>
      </c>
      <c r="C64" t="str">
        <f t="shared" si="0"/>
        <v>Young Adult</v>
      </c>
      <c r="D64" t="s">
        <v>7</v>
      </c>
      <c r="E64" t="s">
        <v>18</v>
      </c>
      <c r="F64">
        <v>14</v>
      </c>
      <c r="G64" t="str">
        <f t="shared" si="1"/>
        <v>High</v>
      </c>
      <c r="H64">
        <v>1742</v>
      </c>
      <c r="I64" t="str">
        <f t="shared" si="2"/>
        <v>High Cost</v>
      </c>
      <c r="J64" t="s">
        <v>15</v>
      </c>
      <c r="K64" t="str">
        <f t="shared" si="3"/>
        <v>High Risk</v>
      </c>
    </row>
    <row r="65" spans="1:11" x14ac:dyDescent="0.35">
      <c r="A65">
        <v>64</v>
      </c>
      <c r="B65">
        <v>79</v>
      </c>
      <c r="C65" t="str">
        <f t="shared" si="0"/>
        <v>Senior</v>
      </c>
      <c r="D65" t="s">
        <v>7</v>
      </c>
      <c r="E65" t="s">
        <v>8</v>
      </c>
      <c r="F65">
        <v>1</v>
      </c>
      <c r="G65" t="str">
        <f t="shared" si="1"/>
        <v>Low</v>
      </c>
      <c r="H65">
        <v>1362</v>
      </c>
      <c r="I65" t="str">
        <f t="shared" si="2"/>
        <v>Moderate</v>
      </c>
      <c r="J65" t="s">
        <v>9</v>
      </c>
      <c r="K65" t="str">
        <f t="shared" si="3"/>
        <v>Medium Risk</v>
      </c>
    </row>
    <row r="66" spans="1:11" x14ac:dyDescent="0.35">
      <c r="A66">
        <v>65</v>
      </c>
      <c r="B66">
        <v>57</v>
      </c>
      <c r="C66" t="str">
        <f t="shared" si="0"/>
        <v>Senior</v>
      </c>
      <c r="D66" t="s">
        <v>14</v>
      </c>
      <c r="E66" t="s">
        <v>8</v>
      </c>
      <c r="F66">
        <v>5</v>
      </c>
      <c r="G66" t="str">
        <f t="shared" si="1"/>
        <v>Medium</v>
      </c>
      <c r="H66">
        <v>2085</v>
      </c>
      <c r="I66" t="str">
        <f t="shared" si="2"/>
        <v>High Cost</v>
      </c>
      <c r="J66" t="s">
        <v>18</v>
      </c>
      <c r="K66" t="str">
        <f t="shared" si="3"/>
        <v>Medium Risk</v>
      </c>
    </row>
    <row r="67" spans="1:11" x14ac:dyDescent="0.35">
      <c r="A67">
        <v>66</v>
      </c>
      <c r="B67">
        <v>70</v>
      </c>
      <c r="C67" t="str">
        <f t="shared" ref="C67:C130" si="4">IF(B67&lt;=17,"Child",IF(B67&lt;=35,"Young Adult",IF(B67&lt;=55,"Adult","Senior")))</f>
        <v>Senior</v>
      </c>
      <c r="D67" t="s">
        <v>14</v>
      </c>
      <c r="E67" t="s">
        <v>13</v>
      </c>
      <c r="F67">
        <v>0</v>
      </c>
      <c r="G67" t="str">
        <f t="shared" ref="G67:G130" si="5">IF(F67=0,"No Visits",IF(F67&lt;=2,"Low",IF(F67&lt;=5,"Medium","High")))</f>
        <v>No Visits</v>
      </c>
      <c r="H67">
        <v>527</v>
      </c>
      <c r="I67" t="str">
        <f t="shared" ref="I67:I130" si="6">IF(H67&lt;=500,"Low Cost",IF(H67&lt;=1500,"Moderate","High Cost"))</f>
        <v>Moderate</v>
      </c>
      <c r="J67" t="s">
        <v>15</v>
      </c>
      <c r="K67" t="str">
        <f t="shared" ref="K67:K130" si="7">IF(AND(G67="High",I67="High Cost"),"High Risk",IF(OR(C67="Senoir",G67="Medium",I67="Moderate"),"Medium Risk","Low Risk"))</f>
        <v>Medium Risk</v>
      </c>
    </row>
    <row r="68" spans="1:11" x14ac:dyDescent="0.35">
      <c r="A68">
        <v>67</v>
      </c>
      <c r="B68">
        <v>41</v>
      </c>
      <c r="C68" t="str">
        <f t="shared" si="4"/>
        <v>Adult</v>
      </c>
      <c r="D68" t="s">
        <v>14</v>
      </c>
      <c r="E68" t="s">
        <v>13</v>
      </c>
      <c r="F68">
        <v>14</v>
      </c>
      <c r="G68" t="str">
        <f t="shared" si="5"/>
        <v>High</v>
      </c>
      <c r="H68">
        <v>1304</v>
      </c>
      <c r="I68" t="str">
        <f t="shared" si="6"/>
        <v>Moderate</v>
      </c>
      <c r="J68" t="s">
        <v>16</v>
      </c>
      <c r="K68" t="str">
        <f t="shared" si="7"/>
        <v>Medium Risk</v>
      </c>
    </row>
    <row r="69" spans="1:11" x14ac:dyDescent="0.35">
      <c r="A69">
        <v>68</v>
      </c>
      <c r="B69">
        <v>43</v>
      </c>
      <c r="C69" t="str">
        <f t="shared" si="4"/>
        <v>Adult</v>
      </c>
      <c r="D69" t="s">
        <v>14</v>
      </c>
      <c r="E69" t="s">
        <v>18</v>
      </c>
      <c r="F69">
        <v>9</v>
      </c>
      <c r="G69" t="str">
        <f t="shared" si="5"/>
        <v>High</v>
      </c>
      <c r="H69">
        <v>972</v>
      </c>
      <c r="I69" t="str">
        <f t="shared" si="6"/>
        <v>Moderate</v>
      </c>
      <c r="J69" t="s">
        <v>9</v>
      </c>
      <c r="K69" t="str">
        <f t="shared" si="7"/>
        <v>Medium Risk</v>
      </c>
    </row>
    <row r="70" spans="1:11" x14ac:dyDescent="0.35">
      <c r="A70">
        <v>69</v>
      </c>
      <c r="B70">
        <v>77</v>
      </c>
      <c r="C70" t="str">
        <f t="shared" si="4"/>
        <v>Senior</v>
      </c>
      <c r="D70" t="s">
        <v>18</v>
      </c>
      <c r="E70" t="s">
        <v>18</v>
      </c>
      <c r="F70">
        <v>10</v>
      </c>
      <c r="G70" t="str">
        <f t="shared" si="5"/>
        <v>High</v>
      </c>
      <c r="H70">
        <v>469</v>
      </c>
      <c r="I70" t="str">
        <f t="shared" si="6"/>
        <v>Low Cost</v>
      </c>
      <c r="J70" t="s">
        <v>18</v>
      </c>
      <c r="K70" t="str">
        <f t="shared" si="7"/>
        <v>Low Risk</v>
      </c>
    </row>
    <row r="71" spans="1:11" x14ac:dyDescent="0.35">
      <c r="A71">
        <v>70</v>
      </c>
      <c r="B71">
        <v>58</v>
      </c>
      <c r="C71" t="str">
        <f t="shared" si="4"/>
        <v>Senior</v>
      </c>
      <c r="D71" t="s">
        <v>7</v>
      </c>
      <c r="E71" t="s">
        <v>18</v>
      </c>
      <c r="F71">
        <v>4</v>
      </c>
      <c r="G71" t="str">
        <f t="shared" si="5"/>
        <v>Medium</v>
      </c>
      <c r="H71">
        <v>2254</v>
      </c>
      <c r="I71" t="str">
        <f t="shared" si="6"/>
        <v>High Cost</v>
      </c>
      <c r="J71" t="s">
        <v>11</v>
      </c>
      <c r="K71" t="str">
        <f t="shared" si="7"/>
        <v>Medium Risk</v>
      </c>
    </row>
    <row r="72" spans="1:11" x14ac:dyDescent="0.35">
      <c r="A72">
        <v>71</v>
      </c>
      <c r="B72">
        <v>46</v>
      </c>
      <c r="C72" t="str">
        <f t="shared" si="4"/>
        <v>Adult</v>
      </c>
      <c r="D72" t="s">
        <v>7</v>
      </c>
      <c r="E72" t="s">
        <v>13</v>
      </c>
      <c r="F72">
        <v>3</v>
      </c>
      <c r="G72" t="str">
        <f t="shared" si="5"/>
        <v>Medium</v>
      </c>
      <c r="H72">
        <v>2647</v>
      </c>
      <c r="I72" t="str">
        <f t="shared" si="6"/>
        <v>High Cost</v>
      </c>
      <c r="J72" t="s">
        <v>18</v>
      </c>
      <c r="K72" t="str">
        <f t="shared" si="7"/>
        <v>Medium Risk</v>
      </c>
    </row>
    <row r="73" spans="1:11" x14ac:dyDescent="0.35">
      <c r="A73">
        <v>72</v>
      </c>
      <c r="B73">
        <v>32</v>
      </c>
      <c r="C73" t="str">
        <f t="shared" si="4"/>
        <v>Young Adult</v>
      </c>
      <c r="D73" t="s">
        <v>14</v>
      </c>
      <c r="E73" t="s">
        <v>8</v>
      </c>
      <c r="F73">
        <v>9</v>
      </c>
      <c r="G73" t="str">
        <f t="shared" si="5"/>
        <v>High</v>
      </c>
      <c r="H73">
        <v>1170</v>
      </c>
      <c r="I73" t="str">
        <f t="shared" si="6"/>
        <v>Moderate</v>
      </c>
      <c r="J73" t="s">
        <v>16</v>
      </c>
      <c r="K73" t="str">
        <f t="shared" si="7"/>
        <v>Medium Risk</v>
      </c>
    </row>
    <row r="74" spans="1:11" x14ac:dyDescent="0.35">
      <c r="A74">
        <v>73</v>
      </c>
      <c r="B74">
        <v>62</v>
      </c>
      <c r="C74" t="str">
        <f t="shared" si="4"/>
        <v>Senior</v>
      </c>
      <c r="D74" t="s">
        <v>7</v>
      </c>
      <c r="E74" t="s">
        <v>17</v>
      </c>
      <c r="F74">
        <v>10</v>
      </c>
      <c r="G74" t="str">
        <f t="shared" si="5"/>
        <v>High</v>
      </c>
      <c r="H74">
        <v>1000</v>
      </c>
      <c r="I74" t="str">
        <f t="shared" si="6"/>
        <v>Moderate</v>
      </c>
      <c r="J74" t="s">
        <v>9</v>
      </c>
      <c r="K74" t="str">
        <f t="shared" si="7"/>
        <v>Medium Risk</v>
      </c>
    </row>
    <row r="75" spans="1:11" x14ac:dyDescent="0.35">
      <c r="A75">
        <v>74</v>
      </c>
      <c r="B75">
        <v>82</v>
      </c>
      <c r="C75" t="str">
        <f t="shared" si="4"/>
        <v>Senior</v>
      </c>
      <c r="D75" t="s">
        <v>14</v>
      </c>
      <c r="E75" t="s">
        <v>18</v>
      </c>
      <c r="F75">
        <v>9</v>
      </c>
      <c r="G75" t="str">
        <f t="shared" si="5"/>
        <v>High</v>
      </c>
      <c r="H75">
        <v>2386</v>
      </c>
      <c r="I75" t="str">
        <f t="shared" si="6"/>
        <v>High Cost</v>
      </c>
      <c r="J75" t="s">
        <v>11</v>
      </c>
      <c r="K75" t="str">
        <f t="shared" si="7"/>
        <v>High Risk</v>
      </c>
    </row>
    <row r="76" spans="1:11" x14ac:dyDescent="0.35">
      <c r="A76">
        <v>75</v>
      </c>
      <c r="B76">
        <v>26</v>
      </c>
      <c r="C76" t="str">
        <f t="shared" si="4"/>
        <v>Young Adult</v>
      </c>
      <c r="D76" t="s">
        <v>18</v>
      </c>
      <c r="E76" t="s">
        <v>8</v>
      </c>
      <c r="F76">
        <v>10</v>
      </c>
      <c r="G76" t="str">
        <f t="shared" si="5"/>
        <v>High</v>
      </c>
      <c r="H76">
        <v>1327</v>
      </c>
      <c r="I76" t="str">
        <f t="shared" si="6"/>
        <v>Moderate</v>
      </c>
      <c r="J76" t="s">
        <v>16</v>
      </c>
      <c r="K76" t="str">
        <f t="shared" si="7"/>
        <v>Medium Risk</v>
      </c>
    </row>
    <row r="77" spans="1:11" x14ac:dyDescent="0.35">
      <c r="A77">
        <v>76</v>
      </c>
      <c r="B77">
        <v>18</v>
      </c>
      <c r="C77" t="str">
        <f t="shared" si="4"/>
        <v>Young Adult</v>
      </c>
      <c r="D77" t="s">
        <v>7</v>
      </c>
      <c r="E77" t="s">
        <v>17</v>
      </c>
      <c r="F77">
        <v>4</v>
      </c>
      <c r="G77" t="str">
        <f t="shared" si="5"/>
        <v>Medium</v>
      </c>
      <c r="H77">
        <v>2293</v>
      </c>
      <c r="I77" t="str">
        <f t="shared" si="6"/>
        <v>High Cost</v>
      </c>
      <c r="J77" t="s">
        <v>18</v>
      </c>
      <c r="K77" t="str">
        <f t="shared" si="7"/>
        <v>Medium Risk</v>
      </c>
    </row>
    <row r="78" spans="1:11" x14ac:dyDescent="0.35">
      <c r="A78">
        <v>77</v>
      </c>
      <c r="B78">
        <v>25</v>
      </c>
      <c r="C78" t="str">
        <f t="shared" si="4"/>
        <v>Young Adult</v>
      </c>
      <c r="D78" t="s">
        <v>7</v>
      </c>
      <c r="E78" t="s">
        <v>17</v>
      </c>
      <c r="F78">
        <v>1</v>
      </c>
      <c r="G78" t="str">
        <f t="shared" si="5"/>
        <v>Low</v>
      </c>
      <c r="H78">
        <v>2695</v>
      </c>
      <c r="I78" t="str">
        <f t="shared" si="6"/>
        <v>High Cost</v>
      </c>
      <c r="J78" t="s">
        <v>16</v>
      </c>
      <c r="K78" t="str">
        <f t="shared" si="7"/>
        <v>Low Risk</v>
      </c>
    </row>
    <row r="79" spans="1:11" x14ac:dyDescent="0.35">
      <c r="A79">
        <v>78</v>
      </c>
      <c r="B79">
        <v>80</v>
      </c>
      <c r="C79" t="str">
        <f t="shared" si="4"/>
        <v>Senior</v>
      </c>
      <c r="D79" t="s">
        <v>14</v>
      </c>
      <c r="E79" t="s">
        <v>13</v>
      </c>
      <c r="F79">
        <v>5</v>
      </c>
      <c r="G79" t="str">
        <f t="shared" si="5"/>
        <v>Medium</v>
      </c>
      <c r="H79">
        <v>1907</v>
      </c>
      <c r="I79" t="str">
        <f t="shared" si="6"/>
        <v>High Cost</v>
      </c>
      <c r="J79" t="s">
        <v>9</v>
      </c>
      <c r="K79" t="str">
        <f t="shared" si="7"/>
        <v>Medium Risk</v>
      </c>
    </row>
    <row r="80" spans="1:11" x14ac:dyDescent="0.35">
      <c r="A80">
        <v>79</v>
      </c>
      <c r="B80">
        <v>28</v>
      </c>
      <c r="C80" t="str">
        <f t="shared" si="4"/>
        <v>Young Adult</v>
      </c>
      <c r="D80" t="s">
        <v>7</v>
      </c>
      <c r="E80" t="s">
        <v>18</v>
      </c>
      <c r="F80">
        <v>1</v>
      </c>
      <c r="G80" t="str">
        <f t="shared" si="5"/>
        <v>Low</v>
      </c>
      <c r="H80">
        <v>566</v>
      </c>
      <c r="I80" t="str">
        <f t="shared" si="6"/>
        <v>Moderate</v>
      </c>
      <c r="J80" t="s">
        <v>18</v>
      </c>
      <c r="K80" t="str">
        <f t="shared" si="7"/>
        <v>Medium Risk</v>
      </c>
    </row>
    <row r="81" spans="1:11" x14ac:dyDescent="0.35">
      <c r="A81">
        <v>80</v>
      </c>
      <c r="B81">
        <v>25</v>
      </c>
      <c r="C81" t="str">
        <f t="shared" si="4"/>
        <v>Young Adult</v>
      </c>
      <c r="D81" t="s">
        <v>18</v>
      </c>
      <c r="E81" t="s">
        <v>12</v>
      </c>
      <c r="F81">
        <v>12</v>
      </c>
      <c r="G81" t="str">
        <f t="shared" si="5"/>
        <v>High</v>
      </c>
      <c r="H81">
        <v>1708</v>
      </c>
      <c r="I81" t="str">
        <f t="shared" si="6"/>
        <v>High Cost</v>
      </c>
      <c r="J81" t="s">
        <v>16</v>
      </c>
      <c r="K81" t="str">
        <f t="shared" si="7"/>
        <v>High Risk</v>
      </c>
    </row>
    <row r="82" spans="1:11" x14ac:dyDescent="0.35">
      <c r="A82">
        <v>81</v>
      </c>
      <c r="B82">
        <v>52</v>
      </c>
      <c r="C82" t="str">
        <f t="shared" si="4"/>
        <v>Adult</v>
      </c>
      <c r="D82" t="s">
        <v>7</v>
      </c>
      <c r="E82" t="s">
        <v>10</v>
      </c>
      <c r="F82">
        <v>10</v>
      </c>
      <c r="G82" t="str">
        <f t="shared" si="5"/>
        <v>High</v>
      </c>
      <c r="H82">
        <v>1915</v>
      </c>
      <c r="I82" t="str">
        <f t="shared" si="6"/>
        <v>High Cost</v>
      </c>
      <c r="J82" t="s">
        <v>16</v>
      </c>
      <c r="K82" t="str">
        <f t="shared" si="7"/>
        <v>High Risk</v>
      </c>
    </row>
    <row r="83" spans="1:11" x14ac:dyDescent="0.35">
      <c r="A83">
        <v>82</v>
      </c>
      <c r="B83">
        <v>52</v>
      </c>
      <c r="C83" t="str">
        <f t="shared" si="4"/>
        <v>Adult</v>
      </c>
      <c r="D83" t="s">
        <v>14</v>
      </c>
      <c r="E83" t="s">
        <v>13</v>
      </c>
      <c r="F83">
        <v>10</v>
      </c>
      <c r="G83" t="str">
        <f t="shared" si="5"/>
        <v>High</v>
      </c>
      <c r="H83">
        <v>2962</v>
      </c>
      <c r="I83" t="str">
        <f t="shared" si="6"/>
        <v>High Cost</v>
      </c>
      <c r="J83" t="s">
        <v>18</v>
      </c>
      <c r="K83" t="str">
        <f t="shared" si="7"/>
        <v>High Risk</v>
      </c>
    </row>
    <row r="84" spans="1:11" x14ac:dyDescent="0.35">
      <c r="A84">
        <v>83</v>
      </c>
      <c r="B84">
        <v>50</v>
      </c>
      <c r="C84" t="str">
        <f t="shared" si="4"/>
        <v>Adult</v>
      </c>
      <c r="D84" t="s">
        <v>7</v>
      </c>
      <c r="E84" t="s">
        <v>13</v>
      </c>
      <c r="F84">
        <v>0</v>
      </c>
      <c r="G84" t="str">
        <f t="shared" si="5"/>
        <v>No Visits</v>
      </c>
      <c r="H84">
        <v>1191</v>
      </c>
      <c r="I84" t="str">
        <f t="shared" si="6"/>
        <v>Moderate</v>
      </c>
      <c r="J84" t="s">
        <v>18</v>
      </c>
      <c r="K84" t="str">
        <f t="shared" si="7"/>
        <v>Medium Risk</v>
      </c>
    </row>
    <row r="85" spans="1:11" x14ac:dyDescent="0.35">
      <c r="A85">
        <v>84</v>
      </c>
      <c r="B85">
        <v>22</v>
      </c>
      <c r="C85" t="str">
        <f t="shared" si="4"/>
        <v>Young Adult</v>
      </c>
      <c r="D85" t="s">
        <v>14</v>
      </c>
      <c r="E85" t="s">
        <v>12</v>
      </c>
      <c r="F85">
        <v>10</v>
      </c>
      <c r="G85" t="str">
        <f t="shared" si="5"/>
        <v>High</v>
      </c>
      <c r="H85">
        <v>2903</v>
      </c>
      <c r="I85" t="str">
        <f t="shared" si="6"/>
        <v>High Cost</v>
      </c>
      <c r="J85" t="s">
        <v>11</v>
      </c>
      <c r="K85" t="str">
        <f t="shared" si="7"/>
        <v>High Risk</v>
      </c>
    </row>
    <row r="86" spans="1:11" x14ac:dyDescent="0.35">
      <c r="A86">
        <v>85</v>
      </c>
      <c r="B86">
        <v>58</v>
      </c>
      <c r="C86" t="str">
        <f t="shared" si="4"/>
        <v>Senior</v>
      </c>
      <c r="D86" t="s">
        <v>7</v>
      </c>
      <c r="E86" t="s">
        <v>10</v>
      </c>
      <c r="F86">
        <v>14</v>
      </c>
      <c r="G86" t="str">
        <f t="shared" si="5"/>
        <v>High</v>
      </c>
      <c r="H86">
        <v>1982</v>
      </c>
      <c r="I86" t="str">
        <f t="shared" si="6"/>
        <v>High Cost</v>
      </c>
      <c r="J86" t="s">
        <v>18</v>
      </c>
      <c r="K86" t="str">
        <f t="shared" si="7"/>
        <v>High Risk</v>
      </c>
    </row>
    <row r="87" spans="1:11" x14ac:dyDescent="0.35">
      <c r="A87">
        <v>86</v>
      </c>
      <c r="B87">
        <v>45</v>
      </c>
      <c r="C87" t="str">
        <f t="shared" si="4"/>
        <v>Adult</v>
      </c>
      <c r="D87" t="s">
        <v>7</v>
      </c>
      <c r="E87" t="s">
        <v>8</v>
      </c>
      <c r="F87">
        <v>0</v>
      </c>
      <c r="G87" t="str">
        <f t="shared" si="5"/>
        <v>No Visits</v>
      </c>
      <c r="H87">
        <v>864</v>
      </c>
      <c r="I87" t="str">
        <f t="shared" si="6"/>
        <v>Moderate</v>
      </c>
      <c r="J87" t="s">
        <v>15</v>
      </c>
      <c r="K87" t="str">
        <f t="shared" si="7"/>
        <v>Medium Risk</v>
      </c>
    </row>
    <row r="88" spans="1:11" x14ac:dyDescent="0.35">
      <c r="A88">
        <v>87</v>
      </c>
      <c r="B88">
        <v>24</v>
      </c>
      <c r="C88" t="str">
        <f t="shared" si="4"/>
        <v>Young Adult</v>
      </c>
      <c r="D88" t="s">
        <v>7</v>
      </c>
      <c r="E88" t="s">
        <v>18</v>
      </c>
      <c r="F88">
        <v>10</v>
      </c>
      <c r="G88" t="str">
        <f t="shared" si="5"/>
        <v>High</v>
      </c>
      <c r="H88">
        <v>2325</v>
      </c>
      <c r="I88" t="str">
        <f t="shared" si="6"/>
        <v>High Cost</v>
      </c>
      <c r="J88" t="s">
        <v>9</v>
      </c>
      <c r="K88" t="str">
        <f t="shared" si="7"/>
        <v>High Risk</v>
      </c>
    </row>
    <row r="89" spans="1:11" x14ac:dyDescent="0.35">
      <c r="A89">
        <v>88</v>
      </c>
      <c r="B89">
        <v>29</v>
      </c>
      <c r="C89" t="str">
        <f t="shared" si="4"/>
        <v>Young Adult</v>
      </c>
      <c r="D89" t="s">
        <v>14</v>
      </c>
      <c r="E89" t="s">
        <v>18</v>
      </c>
      <c r="F89">
        <v>0</v>
      </c>
      <c r="G89" t="str">
        <f t="shared" si="5"/>
        <v>No Visits</v>
      </c>
      <c r="H89">
        <v>1950</v>
      </c>
      <c r="I89" t="str">
        <f t="shared" si="6"/>
        <v>High Cost</v>
      </c>
      <c r="J89" t="s">
        <v>9</v>
      </c>
      <c r="K89" t="str">
        <f t="shared" si="7"/>
        <v>Low Risk</v>
      </c>
    </row>
    <row r="90" spans="1:11" x14ac:dyDescent="0.35">
      <c r="A90">
        <v>89</v>
      </c>
      <c r="B90">
        <v>51</v>
      </c>
      <c r="C90" t="str">
        <f t="shared" si="4"/>
        <v>Adult</v>
      </c>
      <c r="D90" t="s">
        <v>14</v>
      </c>
      <c r="E90" t="s">
        <v>18</v>
      </c>
      <c r="F90">
        <v>7</v>
      </c>
      <c r="G90" t="str">
        <f t="shared" si="5"/>
        <v>High</v>
      </c>
      <c r="H90">
        <v>2313</v>
      </c>
      <c r="I90" t="str">
        <f t="shared" si="6"/>
        <v>High Cost</v>
      </c>
      <c r="J90" t="s">
        <v>18</v>
      </c>
      <c r="K90" t="str">
        <f t="shared" si="7"/>
        <v>High Risk</v>
      </c>
    </row>
    <row r="91" spans="1:11" x14ac:dyDescent="0.35">
      <c r="A91">
        <v>90</v>
      </c>
      <c r="B91">
        <v>50</v>
      </c>
      <c r="C91" t="str">
        <f t="shared" si="4"/>
        <v>Adult</v>
      </c>
      <c r="D91" t="s">
        <v>7</v>
      </c>
      <c r="E91" t="s">
        <v>8</v>
      </c>
      <c r="F91">
        <v>3</v>
      </c>
      <c r="G91" t="str">
        <f t="shared" si="5"/>
        <v>Medium</v>
      </c>
      <c r="H91">
        <v>2112</v>
      </c>
      <c r="I91" t="str">
        <f t="shared" si="6"/>
        <v>High Cost</v>
      </c>
      <c r="J91" t="s">
        <v>18</v>
      </c>
      <c r="K91" t="str">
        <f t="shared" si="7"/>
        <v>Medium Risk</v>
      </c>
    </row>
    <row r="92" spans="1:11" x14ac:dyDescent="0.35">
      <c r="A92">
        <v>91</v>
      </c>
      <c r="B92">
        <v>65</v>
      </c>
      <c r="C92" t="str">
        <f t="shared" si="4"/>
        <v>Senior</v>
      </c>
      <c r="D92" t="s">
        <v>18</v>
      </c>
      <c r="E92" t="s">
        <v>13</v>
      </c>
      <c r="F92">
        <v>7</v>
      </c>
      <c r="G92" t="str">
        <f t="shared" si="5"/>
        <v>High</v>
      </c>
      <c r="H92">
        <v>2144</v>
      </c>
      <c r="I92" t="str">
        <f t="shared" si="6"/>
        <v>High Cost</v>
      </c>
      <c r="J92" t="s">
        <v>9</v>
      </c>
      <c r="K92" t="str">
        <f t="shared" si="7"/>
        <v>High Risk</v>
      </c>
    </row>
    <row r="93" spans="1:11" x14ac:dyDescent="0.35">
      <c r="A93">
        <v>92</v>
      </c>
      <c r="B93">
        <v>40</v>
      </c>
      <c r="C93" t="str">
        <f t="shared" si="4"/>
        <v>Adult</v>
      </c>
      <c r="D93" t="s">
        <v>7</v>
      </c>
      <c r="E93" t="s">
        <v>10</v>
      </c>
      <c r="F93">
        <v>3</v>
      </c>
      <c r="G93" t="str">
        <f t="shared" si="5"/>
        <v>Medium</v>
      </c>
      <c r="H93">
        <v>2421</v>
      </c>
      <c r="I93" t="str">
        <f t="shared" si="6"/>
        <v>High Cost</v>
      </c>
      <c r="J93" t="s">
        <v>18</v>
      </c>
      <c r="K93" t="str">
        <f t="shared" si="7"/>
        <v>Medium Risk</v>
      </c>
    </row>
    <row r="94" spans="1:11" x14ac:dyDescent="0.35">
      <c r="A94">
        <v>93</v>
      </c>
      <c r="B94">
        <v>79</v>
      </c>
      <c r="C94" t="str">
        <f t="shared" si="4"/>
        <v>Senior</v>
      </c>
      <c r="D94" t="s">
        <v>7</v>
      </c>
      <c r="E94" t="s">
        <v>13</v>
      </c>
      <c r="F94">
        <v>2</v>
      </c>
      <c r="G94" t="str">
        <f t="shared" si="5"/>
        <v>Low</v>
      </c>
      <c r="H94">
        <v>2941</v>
      </c>
      <c r="I94" t="str">
        <f t="shared" si="6"/>
        <v>High Cost</v>
      </c>
      <c r="J94" t="s">
        <v>11</v>
      </c>
      <c r="K94" t="str">
        <f t="shared" si="7"/>
        <v>Low Risk</v>
      </c>
    </row>
    <row r="95" spans="1:11" x14ac:dyDescent="0.35">
      <c r="A95">
        <v>94</v>
      </c>
      <c r="B95">
        <v>54</v>
      </c>
      <c r="C95" t="str">
        <f t="shared" si="4"/>
        <v>Adult</v>
      </c>
      <c r="D95" t="s">
        <v>14</v>
      </c>
      <c r="E95" t="s">
        <v>17</v>
      </c>
      <c r="F95">
        <v>2</v>
      </c>
      <c r="G95" t="str">
        <f t="shared" si="5"/>
        <v>Low</v>
      </c>
      <c r="H95">
        <v>179</v>
      </c>
      <c r="I95" t="str">
        <f t="shared" si="6"/>
        <v>Low Cost</v>
      </c>
      <c r="J95" t="s">
        <v>18</v>
      </c>
      <c r="K95" t="str">
        <f t="shared" si="7"/>
        <v>Low Risk</v>
      </c>
    </row>
    <row r="96" spans="1:11" x14ac:dyDescent="0.35">
      <c r="A96">
        <v>95</v>
      </c>
      <c r="B96">
        <v>61</v>
      </c>
      <c r="C96" t="str">
        <f t="shared" si="4"/>
        <v>Senior</v>
      </c>
      <c r="D96" t="s">
        <v>7</v>
      </c>
      <c r="E96" t="s">
        <v>13</v>
      </c>
      <c r="F96">
        <v>4</v>
      </c>
      <c r="G96" t="str">
        <f t="shared" si="5"/>
        <v>Medium</v>
      </c>
      <c r="H96">
        <v>144</v>
      </c>
      <c r="I96" t="str">
        <f t="shared" si="6"/>
        <v>Low Cost</v>
      </c>
      <c r="J96" t="s">
        <v>9</v>
      </c>
      <c r="K96" t="str">
        <f t="shared" si="7"/>
        <v>Medium Risk</v>
      </c>
    </row>
    <row r="97" spans="1:11" x14ac:dyDescent="0.35">
      <c r="A97">
        <v>96</v>
      </c>
      <c r="B97">
        <v>52</v>
      </c>
      <c r="C97" t="str">
        <f t="shared" si="4"/>
        <v>Adult</v>
      </c>
      <c r="D97" t="s">
        <v>7</v>
      </c>
      <c r="E97" t="s">
        <v>13</v>
      </c>
      <c r="F97">
        <v>9</v>
      </c>
      <c r="G97" t="str">
        <f t="shared" si="5"/>
        <v>High</v>
      </c>
      <c r="H97">
        <v>2724</v>
      </c>
      <c r="I97" t="str">
        <f t="shared" si="6"/>
        <v>High Cost</v>
      </c>
      <c r="J97" t="s">
        <v>18</v>
      </c>
      <c r="K97" t="str">
        <f t="shared" si="7"/>
        <v>High Risk</v>
      </c>
    </row>
    <row r="98" spans="1:11" x14ac:dyDescent="0.35">
      <c r="A98">
        <v>97</v>
      </c>
      <c r="B98">
        <v>82</v>
      </c>
      <c r="C98" t="str">
        <f t="shared" si="4"/>
        <v>Senior</v>
      </c>
      <c r="D98" t="s">
        <v>14</v>
      </c>
      <c r="E98" t="s">
        <v>8</v>
      </c>
      <c r="F98">
        <v>5</v>
      </c>
      <c r="G98" t="str">
        <f t="shared" si="5"/>
        <v>Medium</v>
      </c>
      <c r="H98">
        <v>2852</v>
      </c>
      <c r="I98" t="str">
        <f t="shared" si="6"/>
        <v>High Cost</v>
      </c>
      <c r="J98" t="s">
        <v>9</v>
      </c>
      <c r="K98" t="str">
        <f t="shared" si="7"/>
        <v>Medium Risk</v>
      </c>
    </row>
    <row r="99" spans="1:11" x14ac:dyDescent="0.35">
      <c r="A99">
        <v>98</v>
      </c>
      <c r="B99">
        <v>64</v>
      </c>
      <c r="C99" t="str">
        <f t="shared" si="4"/>
        <v>Senior</v>
      </c>
      <c r="D99" t="s">
        <v>7</v>
      </c>
      <c r="E99" t="s">
        <v>8</v>
      </c>
      <c r="F99">
        <v>0</v>
      </c>
      <c r="G99" t="str">
        <f t="shared" si="5"/>
        <v>No Visits</v>
      </c>
      <c r="H99">
        <v>2005</v>
      </c>
      <c r="I99" t="str">
        <f t="shared" si="6"/>
        <v>High Cost</v>
      </c>
      <c r="J99" t="s">
        <v>15</v>
      </c>
      <c r="K99" t="str">
        <f t="shared" si="7"/>
        <v>Low Risk</v>
      </c>
    </row>
    <row r="100" spans="1:11" x14ac:dyDescent="0.35">
      <c r="A100">
        <v>99</v>
      </c>
      <c r="B100">
        <v>20</v>
      </c>
      <c r="C100" t="str">
        <f t="shared" si="4"/>
        <v>Young Adult</v>
      </c>
      <c r="D100" t="s">
        <v>18</v>
      </c>
      <c r="E100" t="s">
        <v>8</v>
      </c>
      <c r="F100">
        <v>4</v>
      </c>
      <c r="G100" t="str">
        <f t="shared" si="5"/>
        <v>Medium</v>
      </c>
      <c r="H100">
        <v>843</v>
      </c>
      <c r="I100" t="str">
        <f t="shared" si="6"/>
        <v>Moderate</v>
      </c>
      <c r="J100" t="s">
        <v>16</v>
      </c>
      <c r="K100" t="str">
        <f t="shared" si="7"/>
        <v>Medium Risk</v>
      </c>
    </row>
    <row r="101" spans="1:11" x14ac:dyDescent="0.35">
      <c r="A101">
        <v>100</v>
      </c>
      <c r="B101">
        <v>18</v>
      </c>
      <c r="C101" t="str">
        <f t="shared" si="4"/>
        <v>Young Adult</v>
      </c>
      <c r="D101" t="s">
        <v>14</v>
      </c>
      <c r="E101" t="s">
        <v>18</v>
      </c>
      <c r="F101">
        <v>8</v>
      </c>
      <c r="G101" t="str">
        <f t="shared" si="5"/>
        <v>High</v>
      </c>
      <c r="H101">
        <v>1884</v>
      </c>
      <c r="I101" t="str">
        <f t="shared" si="6"/>
        <v>High Cost</v>
      </c>
      <c r="J101" t="s">
        <v>18</v>
      </c>
      <c r="K101" t="str">
        <f t="shared" si="7"/>
        <v>High Risk</v>
      </c>
    </row>
    <row r="102" spans="1:11" x14ac:dyDescent="0.35">
      <c r="A102">
        <v>101</v>
      </c>
      <c r="B102">
        <v>22</v>
      </c>
      <c r="C102" t="str">
        <f t="shared" si="4"/>
        <v>Young Adult</v>
      </c>
      <c r="D102" t="s">
        <v>18</v>
      </c>
      <c r="E102" t="s">
        <v>17</v>
      </c>
      <c r="F102">
        <v>11</v>
      </c>
      <c r="G102" t="str">
        <f t="shared" si="5"/>
        <v>High</v>
      </c>
      <c r="H102">
        <v>2166</v>
      </c>
      <c r="I102" t="str">
        <f t="shared" si="6"/>
        <v>High Cost</v>
      </c>
      <c r="J102" t="s">
        <v>9</v>
      </c>
      <c r="K102" t="str">
        <f t="shared" si="7"/>
        <v>High Risk</v>
      </c>
    </row>
    <row r="103" spans="1:11" x14ac:dyDescent="0.35">
      <c r="A103">
        <v>102</v>
      </c>
      <c r="B103">
        <v>31</v>
      </c>
      <c r="C103" t="str">
        <f t="shared" si="4"/>
        <v>Young Adult</v>
      </c>
      <c r="D103" t="s">
        <v>7</v>
      </c>
      <c r="E103" t="s">
        <v>8</v>
      </c>
      <c r="F103">
        <v>13</v>
      </c>
      <c r="G103" t="str">
        <f t="shared" si="5"/>
        <v>High</v>
      </c>
      <c r="H103">
        <v>1733</v>
      </c>
      <c r="I103" t="str">
        <f t="shared" si="6"/>
        <v>High Cost</v>
      </c>
      <c r="J103" t="s">
        <v>16</v>
      </c>
      <c r="K103" t="str">
        <f t="shared" si="7"/>
        <v>High Risk</v>
      </c>
    </row>
    <row r="104" spans="1:11" x14ac:dyDescent="0.35">
      <c r="A104">
        <v>103</v>
      </c>
      <c r="B104">
        <v>44</v>
      </c>
      <c r="C104" t="str">
        <f t="shared" si="4"/>
        <v>Adult</v>
      </c>
      <c r="D104" t="s">
        <v>7</v>
      </c>
      <c r="E104" t="s">
        <v>10</v>
      </c>
      <c r="F104">
        <v>1</v>
      </c>
      <c r="G104" t="str">
        <f t="shared" si="5"/>
        <v>Low</v>
      </c>
      <c r="H104">
        <v>60</v>
      </c>
      <c r="I104" t="str">
        <f t="shared" si="6"/>
        <v>Low Cost</v>
      </c>
      <c r="J104" t="s">
        <v>18</v>
      </c>
      <c r="K104" t="str">
        <f t="shared" si="7"/>
        <v>Low Risk</v>
      </c>
    </row>
    <row r="105" spans="1:11" x14ac:dyDescent="0.35">
      <c r="A105">
        <v>104</v>
      </c>
      <c r="B105">
        <v>26</v>
      </c>
      <c r="C105" t="str">
        <f t="shared" si="4"/>
        <v>Young Adult</v>
      </c>
      <c r="D105" t="s">
        <v>7</v>
      </c>
      <c r="E105" t="s">
        <v>18</v>
      </c>
      <c r="F105">
        <v>10</v>
      </c>
      <c r="G105" t="str">
        <f t="shared" si="5"/>
        <v>High</v>
      </c>
      <c r="H105">
        <v>1915</v>
      </c>
      <c r="I105" t="str">
        <f t="shared" si="6"/>
        <v>High Cost</v>
      </c>
      <c r="J105" t="s">
        <v>16</v>
      </c>
      <c r="K105" t="str">
        <f t="shared" si="7"/>
        <v>High Risk</v>
      </c>
    </row>
    <row r="106" spans="1:11" x14ac:dyDescent="0.35">
      <c r="A106">
        <v>105</v>
      </c>
      <c r="B106">
        <v>32</v>
      </c>
      <c r="C106" t="str">
        <f t="shared" si="4"/>
        <v>Young Adult</v>
      </c>
      <c r="D106" t="s">
        <v>18</v>
      </c>
      <c r="E106" t="s">
        <v>12</v>
      </c>
      <c r="F106">
        <v>13</v>
      </c>
      <c r="G106" t="str">
        <f t="shared" si="5"/>
        <v>High</v>
      </c>
      <c r="H106">
        <v>2969</v>
      </c>
      <c r="I106" t="str">
        <f t="shared" si="6"/>
        <v>High Cost</v>
      </c>
      <c r="J106" t="s">
        <v>18</v>
      </c>
      <c r="K106" t="str">
        <f t="shared" si="7"/>
        <v>High Risk</v>
      </c>
    </row>
    <row r="107" spans="1:11" x14ac:dyDescent="0.35">
      <c r="A107">
        <v>106</v>
      </c>
      <c r="B107">
        <v>59</v>
      </c>
      <c r="C107" t="str">
        <f t="shared" si="4"/>
        <v>Senior</v>
      </c>
      <c r="D107" t="s">
        <v>7</v>
      </c>
      <c r="E107" t="s">
        <v>10</v>
      </c>
      <c r="F107">
        <v>12</v>
      </c>
      <c r="G107" t="str">
        <f t="shared" si="5"/>
        <v>High</v>
      </c>
      <c r="H107">
        <v>2647</v>
      </c>
      <c r="I107" t="str">
        <f t="shared" si="6"/>
        <v>High Cost</v>
      </c>
      <c r="J107" t="s">
        <v>9</v>
      </c>
      <c r="K107" t="str">
        <f t="shared" si="7"/>
        <v>High Risk</v>
      </c>
    </row>
    <row r="108" spans="1:11" x14ac:dyDescent="0.35">
      <c r="A108">
        <v>107</v>
      </c>
      <c r="B108">
        <v>68</v>
      </c>
      <c r="C108" t="str">
        <f t="shared" si="4"/>
        <v>Senior</v>
      </c>
      <c r="D108" t="s">
        <v>18</v>
      </c>
      <c r="E108" t="s">
        <v>18</v>
      </c>
      <c r="F108">
        <v>8</v>
      </c>
      <c r="G108" t="str">
        <f t="shared" si="5"/>
        <v>High</v>
      </c>
      <c r="H108">
        <v>761</v>
      </c>
      <c r="I108" t="str">
        <f t="shared" si="6"/>
        <v>Moderate</v>
      </c>
      <c r="J108" t="s">
        <v>15</v>
      </c>
      <c r="K108" t="str">
        <f t="shared" si="7"/>
        <v>Medium Risk</v>
      </c>
    </row>
    <row r="109" spans="1:11" x14ac:dyDescent="0.35">
      <c r="A109">
        <v>108</v>
      </c>
      <c r="B109">
        <v>80</v>
      </c>
      <c r="C109" t="str">
        <f t="shared" si="4"/>
        <v>Senior</v>
      </c>
      <c r="D109" t="s">
        <v>7</v>
      </c>
      <c r="E109" t="s">
        <v>18</v>
      </c>
      <c r="F109">
        <v>14</v>
      </c>
      <c r="G109" t="str">
        <f t="shared" si="5"/>
        <v>High</v>
      </c>
      <c r="H109">
        <v>2120</v>
      </c>
      <c r="I109" t="str">
        <f t="shared" si="6"/>
        <v>High Cost</v>
      </c>
      <c r="J109" t="s">
        <v>18</v>
      </c>
      <c r="K109" t="str">
        <f t="shared" si="7"/>
        <v>High Risk</v>
      </c>
    </row>
    <row r="110" spans="1:11" x14ac:dyDescent="0.35">
      <c r="A110">
        <v>109</v>
      </c>
      <c r="B110">
        <v>69</v>
      </c>
      <c r="C110" t="str">
        <f t="shared" si="4"/>
        <v>Senior</v>
      </c>
      <c r="D110" t="s">
        <v>14</v>
      </c>
      <c r="E110" t="s">
        <v>10</v>
      </c>
      <c r="F110">
        <v>14</v>
      </c>
      <c r="G110" t="str">
        <f t="shared" si="5"/>
        <v>High</v>
      </c>
      <c r="H110">
        <v>864</v>
      </c>
      <c r="I110" t="str">
        <f t="shared" si="6"/>
        <v>Moderate</v>
      </c>
      <c r="J110" t="s">
        <v>9</v>
      </c>
      <c r="K110" t="str">
        <f t="shared" si="7"/>
        <v>Medium Risk</v>
      </c>
    </row>
    <row r="111" spans="1:11" x14ac:dyDescent="0.35">
      <c r="A111">
        <v>110</v>
      </c>
      <c r="B111">
        <v>21</v>
      </c>
      <c r="C111" t="str">
        <f t="shared" si="4"/>
        <v>Young Adult</v>
      </c>
      <c r="D111" t="s">
        <v>7</v>
      </c>
      <c r="E111" t="s">
        <v>8</v>
      </c>
      <c r="F111">
        <v>10</v>
      </c>
      <c r="G111" t="str">
        <f t="shared" si="5"/>
        <v>High</v>
      </c>
      <c r="H111">
        <v>395</v>
      </c>
      <c r="I111" t="str">
        <f t="shared" si="6"/>
        <v>Low Cost</v>
      </c>
      <c r="J111" t="s">
        <v>18</v>
      </c>
      <c r="K111" t="str">
        <f t="shared" si="7"/>
        <v>Low Risk</v>
      </c>
    </row>
    <row r="112" spans="1:11" x14ac:dyDescent="0.35">
      <c r="A112">
        <v>111</v>
      </c>
      <c r="B112">
        <v>40</v>
      </c>
      <c r="C112" t="str">
        <f t="shared" si="4"/>
        <v>Adult</v>
      </c>
      <c r="D112" t="s">
        <v>18</v>
      </c>
      <c r="E112" t="s">
        <v>12</v>
      </c>
      <c r="F112">
        <v>0</v>
      </c>
      <c r="G112" t="str">
        <f t="shared" si="5"/>
        <v>No Visits</v>
      </c>
      <c r="H112">
        <v>2399</v>
      </c>
      <c r="I112" t="str">
        <f t="shared" si="6"/>
        <v>High Cost</v>
      </c>
      <c r="J112" t="s">
        <v>18</v>
      </c>
      <c r="K112" t="str">
        <f t="shared" si="7"/>
        <v>Low Risk</v>
      </c>
    </row>
    <row r="113" spans="1:11" x14ac:dyDescent="0.35">
      <c r="A113">
        <v>112</v>
      </c>
      <c r="B113">
        <v>32</v>
      </c>
      <c r="C113" t="str">
        <f t="shared" si="4"/>
        <v>Young Adult</v>
      </c>
      <c r="D113" t="s">
        <v>7</v>
      </c>
      <c r="E113" t="s">
        <v>12</v>
      </c>
      <c r="F113">
        <v>10</v>
      </c>
      <c r="G113" t="str">
        <f t="shared" si="5"/>
        <v>High</v>
      </c>
      <c r="H113">
        <v>412</v>
      </c>
      <c r="I113" t="str">
        <f t="shared" si="6"/>
        <v>Low Cost</v>
      </c>
      <c r="J113" t="s">
        <v>11</v>
      </c>
      <c r="K113" t="str">
        <f t="shared" si="7"/>
        <v>Low Risk</v>
      </c>
    </row>
    <row r="114" spans="1:11" x14ac:dyDescent="0.35">
      <c r="A114">
        <v>113</v>
      </c>
      <c r="B114">
        <v>60</v>
      </c>
      <c r="C114" t="str">
        <f t="shared" si="4"/>
        <v>Senior</v>
      </c>
      <c r="D114" t="s">
        <v>7</v>
      </c>
      <c r="E114" t="s">
        <v>18</v>
      </c>
      <c r="F114">
        <v>3</v>
      </c>
      <c r="G114" t="str">
        <f t="shared" si="5"/>
        <v>Medium</v>
      </c>
      <c r="H114">
        <v>2493</v>
      </c>
      <c r="I114" t="str">
        <f t="shared" si="6"/>
        <v>High Cost</v>
      </c>
      <c r="J114" t="s">
        <v>16</v>
      </c>
      <c r="K114" t="str">
        <f t="shared" si="7"/>
        <v>Medium Risk</v>
      </c>
    </row>
    <row r="115" spans="1:11" x14ac:dyDescent="0.35">
      <c r="A115">
        <v>114</v>
      </c>
      <c r="B115">
        <v>46</v>
      </c>
      <c r="C115" t="str">
        <f t="shared" si="4"/>
        <v>Adult</v>
      </c>
      <c r="D115" t="s">
        <v>7</v>
      </c>
      <c r="E115" t="s">
        <v>12</v>
      </c>
      <c r="F115">
        <v>0</v>
      </c>
      <c r="G115" t="str">
        <f t="shared" si="5"/>
        <v>No Visits</v>
      </c>
      <c r="H115">
        <v>2315</v>
      </c>
      <c r="I115" t="str">
        <f t="shared" si="6"/>
        <v>High Cost</v>
      </c>
      <c r="J115" t="s">
        <v>18</v>
      </c>
      <c r="K115" t="str">
        <f t="shared" si="7"/>
        <v>Low Risk</v>
      </c>
    </row>
    <row r="116" spans="1:11" x14ac:dyDescent="0.35">
      <c r="A116">
        <v>115</v>
      </c>
      <c r="B116">
        <v>53</v>
      </c>
      <c r="C116" t="str">
        <f t="shared" si="4"/>
        <v>Adult</v>
      </c>
      <c r="D116" t="s">
        <v>14</v>
      </c>
      <c r="E116" t="s">
        <v>18</v>
      </c>
      <c r="F116">
        <v>7</v>
      </c>
      <c r="G116" t="str">
        <f t="shared" si="5"/>
        <v>High</v>
      </c>
      <c r="H116">
        <v>2238</v>
      </c>
      <c r="I116" t="str">
        <f t="shared" si="6"/>
        <v>High Cost</v>
      </c>
      <c r="J116" t="s">
        <v>11</v>
      </c>
      <c r="K116" t="str">
        <f t="shared" si="7"/>
        <v>High Risk</v>
      </c>
    </row>
    <row r="117" spans="1:11" x14ac:dyDescent="0.35">
      <c r="A117">
        <v>116</v>
      </c>
      <c r="B117">
        <v>30</v>
      </c>
      <c r="C117" t="str">
        <f t="shared" si="4"/>
        <v>Young Adult</v>
      </c>
      <c r="D117" t="s">
        <v>14</v>
      </c>
      <c r="E117" t="s">
        <v>17</v>
      </c>
      <c r="F117">
        <v>10</v>
      </c>
      <c r="G117" t="str">
        <f t="shared" si="5"/>
        <v>High</v>
      </c>
      <c r="H117">
        <v>1034</v>
      </c>
      <c r="I117" t="str">
        <f t="shared" si="6"/>
        <v>Moderate</v>
      </c>
      <c r="J117" t="s">
        <v>9</v>
      </c>
      <c r="K117" t="str">
        <f t="shared" si="7"/>
        <v>Medium Risk</v>
      </c>
    </row>
    <row r="118" spans="1:11" x14ac:dyDescent="0.35">
      <c r="A118">
        <v>117</v>
      </c>
      <c r="B118">
        <v>49</v>
      </c>
      <c r="C118" t="str">
        <f t="shared" si="4"/>
        <v>Adult</v>
      </c>
      <c r="D118" t="s">
        <v>14</v>
      </c>
      <c r="E118" t="s">
        <v>8</v>
      </c>
      <c r="F118">
        <v>2</v>
      </c>
      <c r="G118" t="str">
        <f t="shared" si="5"/>
        <v>Low</v>
      </c>
      <c r="H118">
        <v>1689</v>
      </c>
      <c r="I118" t="str">
        <f t="shared" si="6"/>
        <v>High Cost</v>
      </c>
      <c r="J118" t="s">
        <v>15</v>
      </c>
      <c r="K118" t="str">
        <f t="shared" si="7"/>
        <v>Low Risk</v>
      </c>
    </row>
    <row r="119" spans="1:11" x14ac:dyDescent="0.35">
      <c r="A119">
        <v>118</v>
      </c>
      <c r="B119">
        <v>76</v>
      </c>
      <c r="C119" t="str">
        <f t="shared" si="4"/>
        <v>Senior</v>
      </c>
      <c r="D119" t="s">
        <v>7</v>
      </c>
      <c r="E119" t="s">
        <v>12</v>
      </c>
      <c r="F119">
        <v>14</v>
      </c>
      <c r="G119" t="str">
        <f t="shared" si="5"/>
        <v>High</v>
      </c>
      <c r="H119">
        <v>877</v>
      </c>
      <c r="I119" t="str">
        <f t="shared" si="6"/>
        <v>Moderate</v>
      </c>
      <c r="J119" t="s">
        <v>18</v>
      </c>
      <c r="K119" t="str">
        <f t="shared" si="7"/>
        <v>Medium Risk</v>
      </c>
    </row>
    <row r="120" spans="1:11" x14ac:dyDescent="0.35">
      <c r="A120">
        <v>119</v>
      </c>
      <c r="B120">
        <v>45</v>
      </c>
      <c r="C120" t="str">
        <f t="shared" si="4"/>
        <v>Adult</v>
      </c>
      <c r="D120" t="s">
        <v>7</v>
      </c>
      <c r="E120" t="s">
        <v>18</v>
      </c>
      <c r="F120">
        <v>14</v>
      </c>
      <c r="G120" t="str">
        <f t="shared" si="5"/>
        <v>High</v>
      </c>
      <c r="H120">
        <v>2780</v>
      </c>
      <c r="I120" t="str">
        <f t="shared" si="6"/>
        <v>High Cost</v>
      </c>
      <c r="J120" t="s">
        <v>16</v>
      </c>
      <c r="K120" t="str">
        <f t="shared" si="7"/>
        <v>High Risk</v>
      </c>
    </row>
    <row r="121" spans="1:11" x14ac:dyDescent="0.35">
      <c r="A121">
        <v>120</v>
      </c>
      <c r="B121">
        <v>83</v>
      </c>
      <c r="C121" t="str">
        <f t="shared" si="4"/>
        <v>Senior</v>
      </c>
      <c r="D121" t="s">
        <v>7</v>
      </c>
      <c r="E121" t="s">
        <v>18</v>
      </c>
      <c r="F121">
        <v>13</v>
      </c>
      <c r="G121" t="str">
        <f t="shared" si="5"/>
        <v>High</v>
      </c>
      <c r="H121">
        <v>405</v>
      </c>
      <c r="I121" t="str">
        <f t="shared" si="6"/>
        <v>Low Cost</v>
      </c>
      <c r="J121" t="s">
        <v>18</v>
      </c>
      <c r="K121" t="str">
        <f t="shared" si="7"/>
        <v>Low Risk</v>
      </c>
    </row>
    <row r="122" spans="1:11" x14ac:dyDescent="0.35">
      <c r="A122">
        <v>121</v>
      </c>
      <c r="B122">
        <v>59</v>
      </c>
      <c r="C122" t="str">
        <f t="shared" si="4"/>
        <v>Senior</v>
      </c>
      <c r="D122" t="s">
        <v>18</v>
      </c>
      <c r="E122" t="s">
        <v>17</v>
      </c>
      <c r="F122">
        <v>13</v>
      </c>
      <c r="G122" t="str">
        <f t="shared" si="5"/>
        <v>High</v>
      </c>
      <c r="H122">
        <v>1397</v>
      </c>
      <c r="I122" t="str">
        <f t="shared" si="6"/>
        <v>Moderate</v>
      </c>
      <c r="J122" t="s">
        <v>9</v>
      </c>
      <c r="K122" t="str">
        <f t="shared" si="7"/>
        <v>Medium Risk</v>
      </c>
    </row>
    <row r="123" spans="1:11" x14ac:dyDescent="0.35">
      <c r="A123">
        <v>122</v>
      </c>
      <c r="B123">
        <v>62</v>
      </c>
      <c r="C123" t="str">
        <f t="shared" si="4"/>
        <v>Senior</v>
      </c>
      <c r="D123" t="s">
        <v>7</v>
      </c>
      <c r="E123" t="s">
        <v>13</v>
      </c>
      <c r="F123">
        <v>1</v>
      </c>
      <c r="G123" t="str">
        <f t="shared" si="5"/>
        <v>Low</v>
      </c>
      <c r="H123">
        <v>2985</v>
      </c>
      <c r="I123" t="str">
        <f t="shared" si="6"/>
        <v>High Cost</v>
      </c>
      <c r="J123" t="s">
        <v>18</v>
      </c>
      <c r="K123" t="str">
        <f t="shared" si="7"/>
        <v>Low Risk</v>
      </c>
    </row>
    <row r="124" spans="1:11" x14ac:dyDescent="0.35">
      <c r="A124">
        <v>123</v>
      </c>
      <c r="B124">
        <v>79</v>
      </c>
      <c r="C124" t="str">
        <f t="shared" si="4"/>
        <v>Senior</v>
      </c>
      <c r="D124" t="s">
        <v>18</v>
      </c>
      <c r="E124" t="s">
        <v>13</v>
      </c>
      <c r="F124">
        <v>12</v>
      </c>
      <c r="G124" t="str">
        <f t="shared" si="5"/>
        <v>High</v>
      </c>
      <c r="H124">
        <v>1913</v>
      </c>
      <c r="I124" t="str">
        <f t="shared" si="6"/>
        <v>High Cost</v>
      </c>
      <c r="J124" t="s">
        <v>16</v>
      </c>
      <c r="K124" t="str">
        <f t="shared" si="7"/>
        <v>High Risk</v>
      </c>
    </row>
    <row r="125" spans="1:11" x14ac:dyDescent="0.35">
      <c r="A125">
        <v>124</v>
      </c>
      <c r="B125">
        <v>74</v>
      </c>
      <c r="C125" t="str">
        <f t="shared" si="4"/>
        <v>Senior</v>
      </c>
      <c r="D125" t="s">
        <v>14</v>
      </c>
      <c r="E125" t="s">
        <v>17</v>
      </c>
      <c r="F125">
        <v>13</v>
      </c>
      <c r="G125" t="str">
        <f t="shared" si="5"/>
        <v>High</v>
      </c>
      <c r="H125">
        <v>176</v>
      </c>
      <c r="I125" t="str">
        <f t="shared" si="6"/>
        <v>Low Cost</v>
      </c>
      <c r="J125" t="s">
        <v>9</v>
      </c>
      <c r="K125" t="str">
        <f t="shared" si="7"/>
        <v>Low Risk</v>
      </c>
    </row>
    <row r="126" spans="1:11" x14ac:dyDescent="0.35">
      <c r="A126">
        <v>125</v>
      </c>
      <c r="B126">
        <v>23</v>
      </c>
      <c r="C126" t="str">
        <f t="shared" si="4"/>
        <v>Young Adult</v>
      </c>
      <c r="D126" t="s">
        <v>7</v>
      </c>
      <c r="E126" t="s">
        <v>18</v>
      </c>
      <c r="F126">
        <v>6</v>
      </c>
      <c r="G126" t="str">
        <f t="shared" si="5"/>
        <v>High</v>
      </c>
      <c r="H126">
        <v>653</v>
      </c>
      <c r="I126" t="str">
        <f t="shared" si="6"/>
        <v>Moderate</v>
      </c>
      <c r="J126" t="s">
        <v>18</v>
      </c>
      <c r="K126" t="str">
        <f t="shared" si="7"/>
        <v>Medium Risk</v>
      </c>
    </row>
    <row r="127" spans="1:11" x14ac:dyDescent="0.35">
      <c r="A127">
        <v>126</v>
      </c>
      <c r="B127">
        <v>45</v>
      </c>
      <c r="C127" t="str">
        <f t="shared" si="4"/>
        <v>Adult</v>
      </c>
      <c r="D127" t="s">
        <v>18</v>
      </c>
      <c r="E127" t="s">
        <v>18</v>
      </c>
      <c r="F127">
        <v>2</v>
      </c>
      <c r="G127" t="str">
        <f t="shared" si="5"/>
        <v>Low</v>
      </c>
      <c r="H127">
        <v>1978</v>
      </c>
      <c r="I127" t="str">
        <f t="shared" si="6"/>
        <v>High Cost</v>
      </c>
      <c r="J127" t="s">
        <v>15</v>
      </c>
      <c r="K127" t="str">
        <f t="shared" si="7"/>
        <v>Low Risk</v>
      </c>
    </row>
    <row r="128" spans="1:11" x14ac:dyDescent="0.35">
      <c r="A128">
        <v>127</v>
      </c>
      <c r="B128">
        <v>45</v>
      </c>
      <c r="C128" t="str">
        <f t="shared" si="4"/>
        <v>Adult</v>
      </c>
      <c r="D128" t="s">
        <v>14</v>
      </c>
      <c r="E128" t="s">
        <v>17</v>
      </c>
      <c r="F128">
        <v>14</v>
      </c>
      <c r="G128" t="str">
        <f t="shared" si="5"/>
        <v>High</v>
      </c>
      <c r="H128">
        <v>1063</v>
      </c>
      <c r="I128" t="str">
        <f t="shared" si="6"/>
        <v>Moderate</v>
      </c>
      <c r="J128" t="s">
        <v>18</v>
      </c>
      <c r="K128" t="str">
        <f t="shared" si="7"/>
        <v>Medium Risk</v>
      </c>
    </row>
    <row r="129" spans="1:11" x14ac:dyDescent="0.35">
      <c r="A129">
        <v>128</v>
      </c>
      <c r="B129">
        <v>61</v>
      </c>
      <c r="C129" t="str">
        <f t="shared" si="4"/>
        <v>Senior</v>
      </c>
      <c r="D129" t="s">
        <v>7</v>
      </c>
      <c r="E129" t="s">
        <v>8</v>
      </c>
      <c r="F129">
        <v>13</v>
      </c>
      <c r="G129" t="str">
        <f t="shared" si="5"/>
        <v>High</v>
      </c>
      <c r="H129">
        <v>100</v>
      </c>
      <c r="I129" t="str">
        <f t="shared" si="6"/>
        <v>Low Cost</v>
      </c>
      <c r="J129" t="s">
        <v>9</v>
      </c>
      <c r="K129" t="str">
        <f t="shared" si="7"/>
        <v>Low Risk</v>
      </c>
    </row>
    <row r="130" spans="1:11" x14ac:dyDescent="0.35">
      <c r="A130">
        <v>129</v>
      </c>
      <c r="B130">
        <v>47</v>
      </c>
      <c r="C130" t="str">
        <f t="shared" si="4"/>
        <v>Adult</v>
      </c>
      <c r="D130" t="s">
        <v>7</v>
      </c>
      <c r="E130" t="s">
        <v>8</v>
      </c>
      <c r="F130">
        <v>10</v>
      </c>
      <c r="G130" t="str">
        <f t="shared" si="5"/>
        <v>High</v>
      </c>
      <c r="H130">
        <v>2876</v>
      </c>
      <c r="I130" t="str">
        <f t="shared" si="6"/>
        <v>High Cost</v>
      </c>
      <c r="J130" t="s">
        <v>18</v>
      </c>
      <c r="K130" t="str">
        <f t="shared" si="7"/>
        <v>High Risk</v>
      </c>
    </row>
    <row r="131" spans="1:11" x14ac:dyDescent="0.35">
      <c r="A131">
        <v>130</v>
      </c>
      <c r="B131">
        <v>79</v>
      </c>
      <c r="C131" t="str">
        <f t="shared" ref="C131:C194" si="8">IF(B131&lt;=17,"Child",IF(B131&lt;=35,"Young Adult",IF(B131&lt;=55,"Adult","Senior")))</f>
        <v>Senior</v>
      </c>
      <c r="D131" t="s">
        <v>14</v>
      </c>
      <c r="E131" t="s">
        <v>13</v>
      </c>
      <c r="F131">
        <v>14</v>
      </c>
      <c r="G131" t="str">
        <f t="shared" ref="G131:G194" si="9">IF(F131=0,"No Visits",IF(F131&lt;=2,"Low",IF(F131&lt;=5,"Medium","High")))</f>
        <v>High</v>
      </c>
      <c r="H131">
        <v>1480</v>
      </c>
      <c r="I131" t="str">
        <f t="shared" ref="I131:I194" si="10">IF(H131&lt;=500,"Low Cost",IF(H131&lt;=1500,"Moderate","High Cost"))</f>
        <v>Moderate</v>
      </c>
      <c r="J131" t="s">
        <v>9</v>
      </c>
      <c r="K131" t="str">
        <f t="shared" ref="K131:K194" si="11">IF(AND(G131="High",I131="High Cost"),"High Risk",IF(OR(C131="Senoir",G131="Medium",I131="Moderate"),"Medium Risk","Low Risk"))</f>
        <v>Medium Risk</v>
      </c>
    </row>
    <row r="132" spans="1:11" x14ac:dyDescent="0.35">
      <c r="A132">
        <v>131</v>
      </c>
      <c r="B132">
        <v>79</v>
      </c>
      <c r="C132" t="str">
        <f t="shared" si="8"/>
        <v>Senior</v>
      </c>
      <c r="D132" t="s">
        <v>7</v>
      </c>
      <c r="E132" t="s">
        <v>12</v>
      </c>
      <c r="F132">
        <v>12</v>
      </c>
      <c r="G132" t="str">
        <f t="shared" si="9"/>
        <v>High</v>
      </c>
      <c r="H132">
        <v>1842</v>
      </c>
      <c r="I132" t="str">
        <f t="shared" si="10"/>
        <v>High Cost</v>
      </c>
      <c r="J132" t="s">
        <v>15</v>
      </c>
      <c r="K132" t="str">
        <f t="shared" si="11"/>
        <v>High Risk</v>
      </c>
    </row>
    <row r="133" spans="1:11" x14ac:dyDescent="0.35">
      <c r="A133">
        <v>132</v>
      </c>
      <c r="B133">
        <v>18</v>
      </c>
      <c r="C133" t="str">
        <f t="shared" si="8"/>
        <v>Young Adult</v>
      </c>
      <c r="D133" t="s">
        <v>14</v>
      </c>
      <c r="E133" t="s">
        <v>18</v>
      </c>
      <c r="F133">
        <v>5</v>
      </c>
      <c r="G133" t="str">
        <f t="shared" si="9"/>
        <v>Medium</v>
      </c>
      <c r="H133">
        <v>2911</v>
      </c>
      <c r="I133" t="str">
        <f t="shared" si="10"/>
        <v>High Cost</v>
      </c>
      <c r="J133" t="s">
        <v>18</v>
      </c>
      <c r="K133" t="str">
        <f t="shared" si="11"/>
        <v>Medium Risk</v>
      </c>
    </row>
    <row r="134" spans="1:11" x14ac:dyDescent="0.35">
      <c r="A134">
        <v>133</v>
      </c>
      <c r="B134">
        <v>44</v>
      </c>
      <c r="C134" t="str">
        <f t="shared" si="8"/>
        <v>Adult</v>
      </c>
      <c r="D134" t="s">
        <v>18</v>
      </c>
      <c r="E134" t="s">
        <v>13</v>
      </c>
      <c r="F134">
        <v>2</v>
      </c>
      <c r="G134" t="str">
        <f t="shared" si="9"/>
        <v>Low</v>
      </c>
      <c r="H134">
        <v>1686</v>
      </c>
      <c r="I134" t="str">
        <f t="shared" si="10"/>
        <v>High Cost</v>
      </c>
      <c r="J134" t="s">
        <v>11</v>
      </c>
      <c r="K134" t="str">
        <f t="shared" si="11"/>
        <v>Low Risk</v>
      </c>
    </row>
    <row r="135" spans="1:11" x14ac:dyDescent="0.35">
      <c r="A135">
        <v>134</v>
      </c>
      <c r="B135">
        <v>79</v>
      </c>
      <c r="C135" t="str">
        <f t="shared" si="8"/>
        <v>Senior</v>
      </c>
      <c r="D135" t="s">
        <v>18</v>
      </c>
      <c r="E135" t="s">
        <v>12</v>
      </c>
      <c r="F135">
        <v>14</v>
      </c>
      <c r="G135" t="str">
        <f t="shared" si="9"/>
        <v>High</v>
      </c>
      <c r="H135">
        <v>1695</v>
      </c>
      <c r="I135" t="str">
        <f t="shared" si="10"/>
        <v>High Cost</v>
      </c>
      <c r="J135" t="s">
        <v>16</v>
      </c>
      <c r="K135" t="str">
        <f t="shared" si="11"/>
        <v>High Risk</v>
      </c>
    </row>
    <row r="136" spans="1:11" x14ac:dyDescent="0.35">
      <c r="A136">
        <v>135</v>
      </c>
      <c r="B136">
        <v>20</v>
      </c>
      <c r="C136" t="str">
        <f t="shared" si="8"/>
        <v>Young Adult</v>
      </c>
      <c r="D136" t="s">
        <v>14</v>
      </c>
      <c r="E136" t="s">
        <v>12</v>
      </c>
      <c r="F136">
        <v>4</v>
      </c>
      <c r="G136" t="str">
        <f t="shared" si="9"/>
        <v>Medium</v>
      </c>
      <c r="H136">
        <v>2517</v>
      </c>
      <c r="I136" t="str">
        <f t="shared" si="10"/>
        <v>High Cost</v>
      </c>
      <c r="J136" t="s">
        <v>11</v>
      </c>
      <c r="K136" t="str">
        <f t="shared" si="11"/>
        <v>Medium Risk</v>
      </c>
    </row>
    <row r="137" spans="1:11" x14ac:dyDescent="0.35">
      <c r="A137">
        <v>136</v>
      </c>
      <c r="B137">
        <v>0</v>
      </c>
      <c r="C137" t="str">
        <f t="shared" si="8"/>
        <v>Child</v>
      </c>
      <c r="D137" t="s">
        <v>18</v>
      </c>
      <c r="E137" t="s">
        <v>8</v>
      </c>
      <c r="F137">
        <v>9</v>
      </c>
      <c r="G137" t="str">
        <f t="shared" si="9"/>
        <v>High</v>
      </c>
      <c r="H137">
        <v>1255</v>
      </c>
      <c r="I137" t="str">
        <f t="shared" si="10"/>
        <v>Moderate</v>
      </c>
      <c r="J137" t="s">
        <v>18</v>
      </c>
      <c r="K137" t="str">
        <f t="shared" si="11"/>
        <v>Medium Risk</v>
      </c>
    </row>
    <row r="138" spans="1:11" x14ac:dyDescent="0.35">
      <c r="A138">
        <v>137</v>
      </c>
      <c r="B138">
        <v>44</v>
      </c>
      <c r="C138" t="str">
        <f t="shared" si="8"/>
        <v>Adult</v>
      </c>
      <c r="D138" t="s">
        <v>18</v>
      </c>
      <c r="E138" t="s">
        <v>18</v>
      </c>
      <c r="F138">
        <v>6</v>
      </c>
      <c r="G138" t="str">
        <f t="shared" si="9"/>
        <v>High</v>
      </c>
      <c r="H138">
        <v>2922</v>
      </c>
      <c r="I138" t="str">
        <f t="shared" si="10"/>
        <v>High Cost</v>
      </c>
      <c r="J138" t="s">
        <v>15</v>
      </c>
      <c r="K138" t="str">
        <f t="shared" si="11"/>
        <v>High Risk</v>
      </c>
    </row>
    <row r="139" spans="1:11" x14ac:dyDescent="0.35">
      <c r="A139">
        <v>138</v>
      </c>
      <c r="B139">
        <v>26</v>
      </c>
      <c r="C139" t="str">
        <f t="shared" si="8"/>
        <v>Young Adult</v>
      </c>
      <c r="D139" t="s">
        <v>18</v>
      </c>
      <c r="E139" t="s">
        <v>10</v>
      </c>
      <c r="F139">
        <v>10</v>
      </c>
      <c r="G139" t="str">
        <f t="shared" si="9"/>
        <v>High</v>
      </c>
      <c r="H139">
        <v>1904</v>
      </c>
      <c r="I139" t="str">
        <f t="shared" si="10"/>
        <v>High Cost</v>
      </c>
      <c r="J139" t="s">
        <v>11</v>
      </c>
      <c r="K139" t="str">
        <f t="shared" si="11"/>
        <v>High Risk</v>
      </c>
    </row>
    <row r="140" spans="1:11" x14ac:dyDescent="0.35">
      <c r="A140">
        <v>139</v>
      </c>
      <c r="B140">
        <v>79</v>
      </c>
      <c r="C140" t="str">
        <f t="shared" si="8"/>
        <v>Senior</v>
      </c>
      <c r="D140" t="s">
        <v>14</v>
      </c>
      <c r="E140" t="s">
        <v>18</v>
      </c>
      <c r="F140">
        <v>6</v>
      </c>
      <c r="G140" t="str">
        <f t="shared" si="9"/>
        <v>High</v>
      </c>
      <c r="H140">
        <v>616</v>
      </c>
      <c r="I140" t="str">
        <f t="shared" si="10"/>
        <v>Moderate</v>
      </c>
      <c r="J140" t="s">
        <v>9</v>
      </c>
      <c r="K140" t="str">
        <f t="shared" si="11"/>
        <v>Medium Risk</v>
      </c>
    </row>
    <row r="141" spans="1:11" x14ac:dyDescent="0.35">
      <c r="A141">
        <v>140</v>
      </c>
      <c r="B141">
        <v>54</v>
      </c>
      <c r="C141" t="str">
        <f t="shared" si="8"/>
        <v>Adult</v>
      </c>
      <c r="D141" t="s">
        <v>7</v>
      </c>
      <c r="E141" t="s">
        <v>10</v>
      </c>
      <c r="F141">
        <v>11</v>
      </c>
      <c r="G141" t="str">
        <f t="shared" si="9"/>
        <v>High</v>
      </c>
      <c r="H141">
        <v>2468</v>
      </c>
      <c r="I141" t="str">
        <f t="shared" si="10"/>
        <v>High Cost</v>
      </c>
      <c r="J141" t="s">
        <v>18</v>
      </c>
      <c r="K141" t="str">
        <f t="shared" si="11"/>
        <v>High Risk</v>
      </c>
    </row>
    <row r="142" spans="1:11" x14ac:dyDescent="0.35">
      <c r="A142">
        <v>141</v>
      </c>
      <c r="B142">
        <v>68</v>
      </c>
      <c r="C142" t="str">
        <f t="shared" si="8"/>
        <v>Senior</v>
      </c>
      <c r="D142" t="s">
        <v>7</v>
      </c>
      <c r="E142" t="s">
        <v>17</v>
      </c>
      <c r="F142">
        <v>10</v>
      </c>
      <c r="G142" t="str">
        <f t="shared" si="9"/>
        <v>High</v>
      </c>
      <c r="H142">
        <v>985</v>
      </c>
      <c r="I142" t="str">
        <f t="shared" si="10"/>
        <v>Moderate</v>
      </c>
      <c r="J142" t="s">
        <v>18</v>
      </c>
      <c r="K142" t="str">
        <f t="shared" si="11"/>
        <v>Medium Risk</v>
      </c>
    </row>
    <row r="143" spans="1:11" x14ac:dyDescent="0.35">
      <c r="A143">
        <v>142</v>
      </c>
      <c r="B143">
        <v>61</v>
      </c>
      <c r="C143" t="str">
        <f t="shared" si="8"/>
        <v>Senior</v>
      </c>
      <c r="D143" t="s">
        <v>14</v>
      </c>
      <c r="E143" t="s">
        <v>8</v>
      </c>
      <c r="F143">
        <v>12</v>
      </c>
      <c r="G143" t="str">
        <f t="shared" si="9"/>
        <v>High</v>
      </c>
      <c r="H143">
        <v>1984</v>
      </c>
      <c r="I143" t="str">
        <f t="shared" si="10"/>
        <v>High Cost</v>
      </c>
      <c r="J143" t="s">
        <v>11</v>
      </c>
      <c r="K143" t="str">
        <f t="shared" si="11"/>
        <v>High Risk</v>
      </c>
    </row>
    <row r="144" spans="1:11" x14ac:dyDescent="0.35">
      <c r="A144">
        <v>143</v>
      </c>
      <c r="B144">
        <v>41</v>
      </c>
      <c r="C144" t="str">
        <f t="shared" si="8"/>
        <v>Adult</v>
      </c>
      <c r="D144" t="s">
        <v>18</v>
      </c>
      <c r="E144" t="s">
        <v>12</v>
      </c>
      <c r="F144">
        <v>3</v>
      </c>
      <c r="G144" t="str">
        <f t="shared" si="9"/>
        <v>Medium</v>
      </c>
      <c r="H144">
        <v>2758</v>
      </c>
      <c r="I144" t="str">
        <f t="shared" si="10"/>
        <v>High Cost</v>
      </c>
      <c r="J144" t="s">
        <v>11</v>
      </c>
      <c r="K144" t="str">
        <f t="shared" si="11"/>
        <v>Medium Risk</v>
      </c>
    </row>
    <row r="145" spans="1:11" x14ac:dyDescent="0.35">
      <c r="A145">
        <v>144</v>
      </c>
      <c r="B145">
        <v>76</v>
      </c>
      <c r="C145" t="str">
        <f t="shared" si="8"/>
        <v>Senior</v>
      </c>
      <c r="D145" t="s">
        <v>14</v>
      </c>
      <c r="E145" t="s">
        <v>18</v>
      </c>
      <c r="F145">
        <v>9</v>
      </c>
      <c r="G145" t="str">
        <f t="shared" si="9"/>
        <v>High</v>
      </c>
      <c r="H145">
        <v>1382</v>
      </c>
      <c r="I145" t="str">
        <f t="shared" si="10"/>
        <v>Moderate</v>
      </c>
      <c r="J145" t="s">
        <v>15</v>
      </c>
      <c r="K145" t="str">
        <f t="shared" si="11"/>
        <v>Medium Risk</v>
      </c>
    </row>
    <row r="146" spans="1:11" x14ac:dyDescent="0.35">
      <c r="A146">
        <v>145</v>
      </c>
      <c r="B146">
        <v>49</v>
      </c>
      <c r="C146" t="str">
        <f t="shared" si="8"/>
        <v>Adult</v>
      </c>
      <c r="D146" t="s">
        <v>18</v>
      </c>
      <c r="E146" t="s">
        <v>10</v>
      </c>
      <c r="F146">
        <v>2</v>
      </c>
      <c r="G146" t="str">
        <f t="shared" si="9"/>
        <v>Low</v>
      </c>
      <c r="H146">
        <v>251</v>
      </c>
      <c r="I146" t="str">
        <f t="shared" si="10"/>
        <v>Low Cost</v>
      </c>
      <c r="J146" t="s">
        <v>16</v>
      </c>
      <c r="K146" t="str">
        <f t="shared" si="11"/>
        <v>Low Risk</v>
      </c>
    </row>
    <row r="147" spans="1:11" x14ac:dyDescent="0.35">
      <c r="A147">
        <v>146</v>
      </c>
      <c r="B147">
        <v>69</v>
      </c>
      <c r="C147" t="str">
        <f t="shared" si="8"/>
        <v>Senior</v>
      </c>
      <c r="D147" t="s">
        <v>7</v>
      </c>
      <c r="E147" t="s">
        <v>18</v>
      </c>
      <c r="F147">
        <v>8</v>
      </c>
      <c r="G147" t="str">
        <f t="shared" si="9"/>
        <v>High</v>
      </c>
      <c r="H147">
        <v>2410</v>
      </c>
      <c r="I147" t="str">
        <f t="shared" si="10"/>
        <v>High Cost</v>
      </c>
      <c r="J147" t="s">
        <v>11</v>
      </c>
      <c r="K147" t="str">
        <f t="shared" si="11"/>
        <v>High Risk</v>
      </c>
    </row>
    <row r="148" spans="1:11" x14ac:dyDescent="0.35">
      <c r="A148">
        <v>147</v>
      </c>
      <c r="B148">
        <v>79</v>
      </c>
      <c r="C148" t="str">
        <f t="shared" si="8"/>
        <v>Senior</v>
      </c>
      <c r="D148" t="s">
        <v>18</v>
      </c>
      <c r="E148" t="s">
        <v>12</v>
      </c>
      <c r="F148">
        <v>12</v>
      </c>
      <c r="G148" t="str">
        <f t="shared" si="9"/>
        <v>High</v>
      </c>
      <c r="H148">
        <v>166</v>
      </c>
      <c r="I148" t="str">
        <f t="shared" si="10"/>
        <v>Low Cost</v>
      </c>
      <c r="J148" t="s">
        <v>11</v>
      </c>
      <c r="K148" t="str">
        <f t="shared" si="11"/>
        <v>Low Risk</v>
      </c>
    </row>
    <row r="149" spans="1:11" x14ac:dyDescent="0.35">
      <c r="A149">
        <v>148</v>
      </c>
      <c r="B149">
        <v>75</v>
      </c>
      <c r="C149" t="str">
        <f t="shared" si="8"/>
        <v>Senior</v>
      </c>
      <c r="D149" t="s">
        <v>14</v>
      </c>
      <c r="E149" t="s">
        <v>10</v>
      </c>
      <c r="F149">
        <v>14</v>
      </c>
      <c r="G149" t="str">
        <f t="shared" si="9"/>
        <v>High</v>
      </c>
      <c r="H149">
        <v>986</v>
      </c>
      <c r="I149" t="str">
        <f t="shared" si="10"/>
        <v>Moderate</v>
      </c>
      <c r="J149" t="s">
        <v>18</v>
      </c>
      <c r="K149" t="str">
        <f t="shared" si="11"/>
        <v>Medium Risk</v>
      </c>
    </row>
    <row r="150" spans="1:11" x14ac:dyDescent="0.35">
      <c r="A150">
        <v>149</v>
      </c>
      <c r="B150">
        <v>69</v>
      </c>
      <c r="C150" t="str">
        <f t="shared" si="8"/>
        <v>Senior</v>
      </c>
      <c r="D150" t="s">
        <v>7</v>
      </c>
      <c r="E150" t="s">
        <v>10</v>
      </c>
      <c r="F150">
        <v>3</v>
      </c>
      <c r="G150" t="str">
        <f t="shared" si="9"/>
        <v>Medium</v>
      </c>
      <c r="H150">
        <v>624</v>
      </c>
      <c r="I150" t="str">
        <f t="shared" si="10"/>
        <v>Moderate</v>
      </c>
      <c r="J150" t="s">
        <v>9</v>
      </c>
      <c r="K150" t="str">
        <f t="shared" si="11"/>
        <v>Medium Risk</v>
      </c>
    </row>
    <row r="151" spans="1:11" x14ac:dyDescent="0.35">
      <c r="A151">
        <v>150</v>
      </c>
      <c r="B151">
        <v>29</v>
      </c>
      <c r="C151" t="str">
        <f t="shared" si="8"/>
        <v>Young Adult</v>
      </c>
      <c r="D151" t="s">
        <v>18</v>
      </c>
      <c r="E151" t="s">
        <v>10</v>
      </c>
      <c r="F151">
        <v>14</v>
      </c>
      <c r="G151" t="str">
        <f t="shared" si="9"/>
        <v>High</v>
      </c>
      <c r="H151">
        <v>2341</v>
      </c>
      <c r="I151" t="str">
        <f t="shared" si="10"/>
        <v>High Cost</v>
      </c>
      <c r="J151" t="s">
        <v>18</v>
      </c>
      <c r="K151" t="str">
        <f t="shared" si="11"/>
        <v>High Risk</v>
      </c>
    </row>
    <row r="152" spans="1:11" x14ac:dyDescent="0.35">
      <c r="A152">
        <v>151</v>
      </c>
      <c r="B152">
        <v>56</v>
      </c>
      <c r="C152" t="str">
        <f t="shared" si="8"/>
        <v>Senior</v>
      </c>
      <c r="D152" t="s">
        <v>7</v>
      </c>
      <c r="E152" t="s">
        <v>18</v>
      </c>
      <c r="F152">
        <v>1</v>
      </c>
      <c r="G152" t="str">
        <f t="shared" si="9"/>
        <v>Low</v>
      </c>
      <c r="H152">
        <v>586</v>
      </c>
      <c r="I152" t="str">
        <f t="shared" si="10"/>
        <v>Moderate</v>
      </c>
      <c r="J152" t="s">
        <v>18</v>
      </c>
      <c r="K152" t="str">
        <f t="shared" si="11"/>
        <v>Medium Risk</v>
      </c>
    </row>
    <row r="153" spans="1:11" x14ac:dyDescent="0.35">
      <c r="A153">
        <v>152</v>
      </c>
      <c r="B153">
        <v>19</v>
      </c>
      <c r="C153" t="str">
        <f t="shared" si="8"/>
        <v>Young Adult</v>
      </c>
      <c r="D153" t="s">
        <v>7</v>
      </c>
      <c r="E153" t="s">
        <v>8</v>
      </c>
      <c r="F153">
        <v>14</v>
      </c>
      <c r="G153" t="str">
        <f t="shared" si="9"/>
        <v>High</v>
      </c>
      <c r="H153">
        <v>1675</v>
      </c>
      <c r="I153" t="str">
        <f t="shared" si="10"/>
        <v>High Cost</v>
      </c>
      <c r="J153" t="s">
        <v>18</v>
      </c>
      <c r="K153" t="str">
        <f t="shared" si="11"/>
        <v>High Risk</v>
      </c>
    </row>
    <row r="154" spans="1:11" x14ac:dyDescent="0.35">
      <c r="A154">
        <v>153</v>
      </c>
      <c r="B154">
        <v>20</v>
      </c>
      <c r="C154" t="str">
        <f t="shared" si="8"/>
        <v>Young Adult</v>
      </c>
      <c r="D154" t="s">
        <v>7</v>
      </c>
      <c r="E154" t="s">
        <v>18</v>
      </c>
      <c r="F154">
        <v>7</v>
      </c>
      <c r="G154" t="str">
        <f t="shared" si="9"/>
        <v>High</v>
      </c>
      <c r="H154">
        <v>2172</v>
      </c>
      <c r="I154" t="str">
        <f t="shared" si="10"/>
        <v>High Cost</v>
      </c>
      <c r="J154" t="s">
        <v>16</v>
      </c>
      <c r="K154" t="str">
        <f t="shared" si="11"/>
        <v>High Risk</v>
      </c>
    </row>
    <row r="155" spans="1:11" x14ac:dyDescent="0.35">
      <c r="A155">
        <v>154</v>
      </c>
      <c r="B155">
        <v>73</v>
      </c>
      <c r="C155" t="str">
        <f t="shared" si="8"/>
        <v>Senior</v>
      </c>
      <c r="D155" t="s">
        <v>18</v>
      </c>
      <c r="E155" t="s">
        <v>13</v>
      </c>
      <c r="F155">
        <v>7</v>
      </c>
      <c r="G155" t="str">
        <f t="shared" si="9"/>
        <v>High</v>
      </c>
      <c r="H155">
        <v>435</v>
      </c>
      <c r="I155" t="str">
        <f t="shared" si="10"/>
        <v>Low Cost</v>
      </c>
      <c r="J155" t="s">
        <v>9</v>
      </c>
      <c r="K155" t="str">
        <f t="shared" si="11"/>
        <v>Low Risk</v>
      </c>
    </row>
    <row r="156" spans="1:11" x14ac:dyDescent="0.35">
      <c r="A156">
        <v>155</v>
      </c>
      <c r="B156">
        <v>76</v>
      </c>
      <c r="C156" t="str">
        <f t="shared" si="8"/>
        <v>Senior</v>
      </c>
      <c r="D156" t="s">
        <v>7</v>
      </c>
      <c r="E156" t="s">
        <v>12</v>
      </c>
      <c r="F156">
        <v>10</v>
      </c>
      <c r="G156" t="str">
        <f t="shared" si="9"/>
        <v>High</v>
      </c>
      <c r="H156">
        <v>524</v>
      </c>
      <c r="I156" t="str">
        <f t="shared" si="10"/>
        <v>Moderate</v>
      </c>
      <c r="J156" t="s">
        <v>15</v>
      </c>
      <c r="K156" t="str">
        <f t="shared" si="11"/>
        <v>Medium Risk</v>
      </c>
    </row>
    <row r="157" spans="1:11" x14ac:dyDescent="0.35">
      <c r="A157">
        <v>156</v>
      </c>
      <c r="B157">
        <v>19</v>
      </c>
      <c r="C157" t="str">
        <f t="shared" si="8"/>
        <v>Young Adult</v>
      </c>
      <c r="D157" t="s">
        <v>14</v>
      </c>
      <c r="E157" t="s">
        <v>8</v>
      </c>
      <c r="F157">
        <v>11</v>
      </c>
      <c r="G157" t="str">
        <f t="shared" si="9"/>
        <v>High</v>
      </c>
      <c r="H157">
        <v>467</v>
      </c>
      <c r="I157" t="str">
        <f t="shared" si="10"/>
        <v>Low Cost</v>
      </c>
      <c r="J157" t="s">
        <v>15</v>
      </c>
      <c r="K157" t="str">
        <f t="shared" si="11"/>
        <v>Low Risk</v>
      </c>
    </row>
    <row r="158" spans="1:11" x14ac:dyDescent="0.35">
      <c r="A158">
        <v>157</v>
      </c>
      <c r="B158">
        <v>19</v>
      </c>
      <c r="C158" t="str">
        <f t="shared" si="8"/>
        <v>Young Adult</v>
      </c>
      <c r="D158" t="s">
        <v>18</v>
      </c>
      <c r="E158" t="s">
        <v>8</v>
      </c>
      <c r="F158">
        <v>9</v>
      </c>
      <c r="G158" t="str">
        <f t="shared" si="9"/>
        <v>High</v>
      </c>
      <c r="H158">
        <v>2444</v>
      </c>
      <c r="I158" t="str">
        <f t="shared" si="10"/>
        <v>High Cost</v>
      </c>
      <c r="J158" t="s">
        <v>11</v>
      </c>
      <c r="K158" t="str">
        <f t="shared" si="11"/>
        <v>High Risk</v>
      </c>
    </row>
    <row r="159" spans="1:11" x14ac:dyDescent="0.35">
      <c r="A159">
        <v>158</v>
      </c>
      <c r="B159">
        <v>71</v>
      </c>
      <c r="C159" t="str">
        <f t="shared" si="8"/>
        <v>Senior</v>
      </c>
      <c r="D159" t="s">
        <v>7</v>
      </c>
      <c r="E159" t="s">
        <v>8</v>
      </c>
      <c r="F159">
        <v>8</v>
      </c>
      <c r="G159" t="str">
        <f t="shared" si="9"/>
        <v>High</v>
      </c>
      <c r="H159">
        <v>2737</v>
      </c>
      <c r="I159" t="str">
        <f t="shared" si="10"/>
        <v>High Cost</v>
      </c>
      <c r="J159" t="s">
        <v>11</v>
      </c>
      <c r="K159" t="str">
        <f t="shared" si="11"/>
        <v>High Risk</v>
      </c>
    </row>
    <row r="160" spans="1:11" x14ac:dyDescent="0.35">
      <c r="A160">
        <v>159</v>
      </c>
      <c r="B160">
        <v>18</v>
      </c>
      <c r="C160" t="str">
        <f t="shared" si="8"/>
        <v>Young Adult</v>
      </c>
      <c r="D160" t="s">
        <v>7</v>
      </c>
      <c r="E160" t="s">
        <v>18</v>
      </c>
      <c r="F160">
        <v>4</v>
      </c>
      <c r="G160" t="str">
        <f t="shared" si="9"/>
        <v>Medium</v>
      </c>
      <c r="H160">
        <v>988</v>
      </c>
      <c r="I160" t="str">
        <f t="shared" si="10"/>
        <v>Moderate</v>
      </c>
      <c r="J160" t="s">
        <v>15</v>
      </c>
      <c r="K160" t="str">
        <f t="shared" si="11"/>
        <v>Medium Risk</v>
      </c>
    </row>
    <row r="161" spans="1:11" x14ac:dyDescent="0.35">
      <c r="A161">
        <v>160</v>
      </c>
      <c r="B161">
        <v>36</v>
      </c>
      <c r="C161" t="str">
        <f t="shared" si="8"/>
        <v>Adult</v>
      </c>
      <c r="D161" t="s">
        <v>18</v>
      </c>
      <c r="E161" t="s">
        <v>8</v>
      </c>
      <c r="F161">
        <v>5</v>
      </c>
      <c r="G161" t="str">
        <f t="shared" si="9"/>
        <v>Medium</v>
      </c>
      <c r="H161">
        <v>1004</v>
      </c>
      <c r="I161" t="str">
        <f t="shared" si="10"/>
        <v>Moderate</v>
      </c>
      <c r="J161" t="s">
        <v>11</v>
      </c>
      <c r="K161" t="str">
        <f t="shared" si="11"/>
        <v>Medium Risk</v>
      </c>
    </row>
    <row r="162" spans="1:11" x14ac:dyDescent="0.35">
      <c r="A162">
        <v>161</v>
      </c>
      <c r="B162">
        <v>19</v>
      </c>
      <c r="C162" t="str">
        <f t="shared" si="8"/>
        <v>Young Adult</v>
      </c>
      <c r="D162" t="s">
        <v>7</v>
      </c>
      <c r="E162" t="s">
        <v>18</v>
      </c>
      <c r="F162">
        <v>1</v>
      </c>
      <c r="G162" t="str">
        <f t="shared" si="9"/>
        <v>Low</v>
      </c>
      <c r="H162">
        <v>925</v>
      </c>
      <c r="I162" t="str">
        <f t="shared" si="10"/>
        <v>Moderate</v>
      </c>
      <c r="J162" t="s">
        <v>16</v>
      </c>
      <c r="K162" t="str">
        <f t="shared" si="11"/>
        <v>Medium Risk</v>
      </c>
    </row>
    <row r="163" spans="1:11" x14ac:dyDescent="0.35">
      <c r="A163">
        <v>162</v>
      </c>
      <c r="B163">
        <v>70</v>
      </c>
      <c r="C163" t="str">
        <f t="shared" si="8"/>
        <v>Senior</v>
      </c>
      <c r="D163" t="s">
        <v>7</v>
      </c>
      <c r="E163" t="s">
        <v>8</v>
      </c>
      <c r="F163">
        <v>12</v>
      </c>
      <c r="G163" t="str">
        <f t="shared" si="9"/>
        <v>High</v>
      </c>
      <c r="H163">
        <v>812</v>
      </c>
      <c r="I163" t="str">
        <f t="shared" si="10"/>
        <v>Moderate</v>
      </c>
      <c r="J163" t="s">
        <v>18</v>
      </c>
      <c r="K163" t="str">
        <f t="shared" si="11"/>
        <v>Medium Risk</v>
      </c>
    </row>
    <row r="164" spans="1:11" x14ac:dyDescent="0.35">
      <c r="A164">
        <v>163</v>
      </c>
      <c r="B164">
        <v>61</v>
      </c>
      <c r="C164" t="str">
        <f t="shared" si="8"/>
        <v>Senior</v>
      </c>
      <c r="D164" t="s">
        <v>7</v>
      </c>
      <c r="E164" t="s">
        <v>17</v>
      </c>
      <c r="F164">
        <v>5</v>
      </c>
      <c r="G164" t="str">
        <f t="shared" si="9"/>
        <v>Medium</v>
      </c>
      <c r="H164">
        <v>1252</v>
      </c>
      <c r="I164" t="str">
        <f t="shared" si="10"/>
        <v>Moderate</v>
      </c>
      <c r="J164" t="s">
        <v>11</v>
      </c>
      <c r="K164" t="str">
        <f t="shared" si="11"/>
        <v>Medium Risk</v>
      </c>
    </row>
    <row r="165" spans="1:11" x14ac:dyDescent="0.35">
      <c r="A165">
        <v>164</v>
      </c>
      <c r="B165">
        <v>49</v>
      </c>
      <c r="C165" t="str">
        <f t="shared" si="8"/>
        <v>Adult</v>
      </c>
      <c r="D165" t="s">
        <v>7</v>
      </c>
      <c r="E165" t="s">
        <v>12</v>
      </c>
      <c r="F165">
        <v>4</v>
      </c>
      <c r="G165" t="str">
        <f t="shared" si="9"/>
        <v>Medium</v>
      </c>
      <c r="H165">
        <v>1255</v>
      </c>
      <c r="I165" t="str">
        <f t="shared" si="10"/>
        <v>Moderate</v>
      </c>
      <c r="J165" t="s">
        <v>18</v>
      </c>
      <c r="K165" t="str">
        <f t="shared" si="11"/>
        <v>Medium Risk</v>
      </c>
    </row>
    <row r="166" spans="1:11" x14ac:dyDescent="0.35">
      <c r="A166">
        <v>165</v>
      </c>
      <c r="B166">
        <v>0</v>
      </c>
      <c r="C166" t="str">
        <f t="shared" si="8"/>
        <v>Child</v>
      </c>
      <c r="D166" t="s">
        <v>7</v>
      </c>
      <c r="E166" t="s">
        <v>8</v>
      </c>
      <c r="F166">
        <v>0</v>
      </c>
      <c r="G166" t="str">
        <f t="shared" si="9"/>
        <v>No Visits</v>
      </c>
      <c r="H166">
        <v>713</v>
      </c>
      <c r="I166" t="str">
        <f t="shared" si="10"/>
        <v>Moderate</v>
      </c>
      <c r="J166" t="s">
        <v>11</v>
      </c>
      <c r="K166" t="str">
        <f t="shared" si="11"/>
        <v>Medium Risk</v>
      </c>
    </row>
    <row r="167" spans="1:11" x14ac:dyDescent="0.35">
      <c r="A167">
        <v>166</v>
      </c>
      <c r="B167">
        <v>49</v>
      </c>
      <c r="C167" t="str">
        <f t="shared" si="8"/>
        <v>Adult</v>
      </c>
      <c r="D167" t="s">
        <v>14</v>
      </c>
      <c r="E167" t="s">
        <v>12</v>
      </c>
      <c r="F167">
        <v>5</v>
      </c>
      <c r="G167" t="str">
        <f t="shared" si="9"/>
        <v>Medium</v>
      </c>
      <c r="H167">
        <v>74</v>
      </c>
      <c r="I167" t="str">
        <f t="shared" si="10"/>
        <v>Low Cost</v>
      </c>
      <c r="J167" t="s">
        <v>9</v>
      </c>
      <c r="K167" t="str">
        <f t="shared" si="11"/>
        <v>Medium Risk</v>
      </c>
    </row>
    <row r="168" spans="1:11" x14ac:dyDescent="0.35">
      <c r="A168">
        <v>167</v>
      </c>
      <c r="B168">
        <v>0</v>
      </c>
      <c r="C168" t="str">
        <f t="shared" si="8"/>
        <v>Child</v>
      </c>
      <c r="D168" t="s">
        <v>7</v>
      </c>
      <c r="E168" t="s">
        <v>17</v>
      </c>
      <c r="F168">
        <v>5</v>
      </c>
      <c r="G168" t="str">
        <f t="shared" si="9"/>
        <v>Medium</v>
      </c>
      <c r="H168">
        <v>2040</v>
      </c>
      <c r="I168" t="str">
        <f t="shared" si="10"/>
        <v>High Cost</v>
      </c>
      <c r="J168" t="s">
        <v>16</v>
      </c>
      <c r="K168" t="str">
        <f t="shared" si="11"/>
        <v>Medium Risk</v>
      </c>
    </row>
    <row r="169" spans="1:11" x14ac:dyDescent="0.35">
      <c r="A169">
        <v>168</v>
      </c>
      <c r="B169">
        <v>72</v>
      </c>
      <c r="C169" t="str">
        <f t="shared" si="8"/>
        <v>Senior</v>
      </c>
      <c r="D169" t="s">
        <v>14</v>
      </c>
      <c r="E169" t="s">
        <v>17</v>
      </c>
      <c r="F169">
        <v>0</v>
      </c>
      <c r="G169" t="str">
        <f t="shared" si="9"/>
        <v>No Visits</v>
      </c>
      <c r="H169">
        <v>1253</v>
      </c>
      <c r="I169" t="str">
        <f t="shared" si="10"/>
        <v>Moderate</v>
      </c>
      <c r="J169" t="s">
        <v>9</v>
      </c>
      <c r="K169" t="str">
        <f t="shared" si="11"/>
        <v>Medium Risk</v>
      </c>
    </row>
    <row r="170" spans="1:11" x14ac:dyDescent="0.35">
      <c r="A170">
        <v>169</v>
      </c>
      <c r="B170">
        <v>73</v>
      </c>
      <c r="C170" t="str">
        <f t="shared" si="8"/>
        <v>Senior</v>
      </c>
      <c r="D170" t="s">
        <v>18</v>
      </c>
      <c r="E170" t="s">
        <v>12</v>
      </c>
      <c r="F170">
        <v>3</v>
      </c>
      <c r="G170" t="str">
        <f t="shared" si="9"/>
        <v>Medium</v>
      </c>
      <c r="H170">
        <v>759</v>
      </c>
      <c r="I170" t="str">
        <f t="shared" si="10"/>
        <v>Moderate</v>
      </c>
      <c r="J170" t="s">
        <v>9</v>
      </c>
      <c r="K170" t="str">
        <f t="shared" si="11"/>
        <v>Medium Risk</v>
      </c>
    </row>
    <row r="171" spans="1:11" x14ac:dyDescent="0.35">
      <c r="A171">
        <v>170</v>
      </c>
      <c r="B171">
        <v>34</v>
      </c>
      <c r="C171" t="str">
        <f t="shared" si="8"/>
        <v>Young Adult</v>
      </c>
      <c r="D171" t="s">
        <v>18</v>
      </c>
      <c r="E171" t="s">
        <v>10</v>
      </c>
      <c r="F171">
        <v>10</v>
      </c>
      <c r="G171" t="str">
        <f t="shared" si="9"/>
        <v>High</v>
      </c>
      <c r="H171">
        <v>1929</v>
      </c>
      <c r="I171" t="str">
        <f t="shared" si="10"/>
        <v>High Cost</v>
      </c>
      <c r="J171" t="s">
        <v>18</v>
      </c>
      <c r="K171" t="str">
        <f t="shared" si="11"/>
        <v>High Risk</v>
      </c>
    </row>
    <row r="172" spans="1:11" x14ac:dyDescent="0.35">
      <c r="A172">
        <v>171</v>
      </c>
      <c r="B172">
        <v>55</v>
      </c>
      <c r="C172" t="str">
        <f t="shared" si="8"/>
        <v>Adult</v>
      </c>
      <c r="D172" t="s">
        <v>7</v>
      </c>
      <c r="E172" t="s">
        <v>13</v>
      </c>
      <c r="F172">
        <v>8</v>
      </c>
      <c r="G172" t="str">
        <f t="shared" si="9"/>
        <v>High</v>
      </c>
      <c r="H172">
        <v>1234</v>
      </c>
      <c r="I172" t="str">
        <f t="shared" si="10"/>
        <v>Moderate</v>
      </c>
      <c r="J172" t="s">
        <v>16</v>
      </c>
      <c r="K172" t="str">
        <f t="shared" si="11"/>
        <v>Medium Risk</v>
      </c>
    </row>
    <row r="173" spans="1:11" x14ac:dyDescent="0.35">
      <c r="A173">
        <v>172</v>
      </c>
      <c r="B173">
        <v>41</v>
      </c>
      <c r="C173" t="str">
        <f t="shared" si="8"/>
        <v>Adult</v>
      </c>
      <c r="D173" t="s">
        <v>7</v>
      </c>
      <c r="E173" t="s">
        <v>18</v>
      </c>
      <c r="F173">
        <v>2</v>
      </c>
      <c r="G173" t="str">
        <f t="shared" si="9"/>
        <v>Low</v>
      </c>
      <c r="H173">
        <v>2274</v>
      </c>
      <c r="I173" t="str">
        <f t="shared" si="10"/>
        <v>High Cost</v>
      </c>
      <c r="J173" t="s">
        <v>16</v>
      </c>
      <c r="K173" t="str">
        <f t="shared" si="11"/>
        <v>Low Risk</v>
      </c>
    </row>
    <row r="174" spans="1:11" x14ac:dyDescent="0.35">
      <c r="A174">
        <v>174</v>
      </c>
      <c r="B174">
        <v>0</v>
      </c>
      <c r="C174" t="str">
        <f t="shared" si="8"/>
        <v>Child</v>
      </c>
      <c r="D174" t="s">
        <v>7</v>
      </c>
      <c r="E174" t="s">
        <v>10</v>
      </c>
      <c r="F174">
        <v>4</v>
      </c>
      <c r="G174" t="str">
        <f t="shared" si="9"/>
        <v>Medium</v>
      </c>
      <c r="H174">
        <v>112</v>
      </c>
      <c r="I174" t="str">
        <f t="shared" si="10"/>
        <v>Low Cost</v>
      </c>
      <c r="J174" t="s">
        <v>16</v>
      </c>
      <c r="K174" t="str">
        <f t="shared" si="11"/>
        <v>Medium Risk</v>
      </c>
    </row>
    <row r="175" spans="1:11" x14ac:dyDescent="0.35">
      <c r="A175">
        <v>175</v>
      </c>
      <c r="B175">
        <v>28</v>
      </c>
      <c r="C175" t="str">
        <f t="shared" si="8"/>
        <v>Young Adult</v>
      </c>
      <c r="D175" t="s">
        <v>14</v>
      </c>
      <c r="E175" t="s">
        <v>18</v>
      </c>
      <c r="F175">
        <v>3</v>
      </c>
      <c r="G175" t="str">
        <f t="shared" si="9"/>
        <v>Medium</v>
      </c>
      <c r="H175">
        <v>1052</v>
      </c>
      <c r="I175" t="str">
        <f t="shared" si="10"/>
        <v>Moderate</v>
      </c>
      <c r="J175" t="s">
        <v>16</v>
      </c>
      <c r="K175" t="str">
        <f t="shared" si="11"/>
        <v>Medium Risk</v>
      </c>
    </row>
    <row r="176" spans="1:11" x14ac:dyDescent="0.35">
      <c r="A176">
        <v>176</v>
      </c>
      <c r="B176">
        <v>33</v>
      </c>
      <c r="C176" t="str">
        <f t="shared" si="8"/>
        <v>Young Adult</v>
      </c>
      <c r="D176" t="s">
        <v>7</v>
      </c>
      <c r="E176" t="s">
        <v>18</v>
      </c>
      <c r="F176">
        <v>5</v>
      </c>
      <c r="G176" t="str">
        <f t="shared" si="9"/>
        <v>Medium</v>
      </c>
      <c r="H176">
        <v>711</v>
      </c>
      <c r="I176" t="str">
        <f t="shared" si="10"/>
        <v>Moderate</v>
      </c>
      <c r="J176" t="s">
        <v>18</v>
      </c>
      <c r="K176" t="str">
        <f t="shared" si="11"/>
        <v>Medium Risk</v>
      </c>
    </row>
    <row r="177" spans="1:11" x14ac:dyDescent="0.35">
      <c r="A177">
        <v>177</v>
      </c>
      <c r="B177">
        <v>76</v>
      </c>
      <c r="C177" t="str">
        <f t="shared" si="8"/>
        <v>Senior</v>
      </c>
      <c r="D177" t="s">
        <v>7</v>
      </c>
      <c r="E177" t="s">
        <v>18</v>
      </c>
      <c r="F177">
        <v>1</v>
      </c>
      <c r="G177" t="str">
        <f t="shared" si="9"/>
        <v>Low</v>
      </c>
      <c r="H177">
        <v>2763</v>
      </c>
      <c r="I177" t="str">
        <f t="shared" si="10"/>
        <v>High Cost</v>
      </c>
      <c r="J177" t="s">
        <v>11</v>
      </c>
      <c r="K177" t="str">
        <f t="shared" si="11"/>
        <v>Low Risk</v>
      </c>
    </row>
    <row r="178" spans="1:11" x14ac:dyDescent="0.35">
      <c r="A178">
        <v>178</v>
      </c>
      <c r="B178">
        <v>0</v>
      </c>
      <c r="C178" t="str">
        <f t="shared" si="8"/>
        <v>Child</v>
      </c>
      <c r="D178" t="s">
        <v>7</v>
      </c>
      <c r="E178" t="s">
        <v>10</v>
      </c>
      <c r="F178">
        <v>10</v>
      </c>
      <c r="G178" t="str">
        <f t="shared" si="9"/>
        <v>High</v>
      </c>
      <c r="H178">
        <v>2253</v>
      </c>
      <c r="I178" t="str">
        <f t="shared" si="10"/>
        <v>High Cost</v>
      </c>
      <c r="J178" t="s">
        <v>9</v>
      </c>
      <c r="K178" t="str">
        <f t="shared" si="11"/>
        <v>High Risk</v>
      </c>
    </row>
    <row r="179" spans="1:11" x14ac:dyDescent="0.35">
      <c r="A179">
        <v>179</v>
      </c>
      <c r="B179">
        <v>20</v>
      </c>
      <c r="C179" t="str">
        <f t="shared" si="8"/>
        <v>Young Adult</v>
      </c>
      <c r="D179" t="s">
        <v>14</v>
      </c>
      <c r="E179" t="s">
        <v>8</v>
      </c>
      <c r="F179">
        <v>3</v>
      </c>
      <c r="G179" t="str">
        <f t="shared" si="9"/>
        <v>Medium</v>
      </c>
      <c r="H179">
        <v>1542</v>
      </c>
      <c r="I179" t="str">
        <f t="shared" si="10"/>
        <v>High Cost</v>
      </c>
      <c r="J179" t="s">
        <v>16</v>
      </c>
      <c r="K179" t="str">
        <f t="shared" si="11"/>
        <v>Medium Risk</v>
      </c>
    </row>
    <row r="180" spans="1:11" x14ac:dyDescent="0.35">
      <c r="A180">
        <v>180</v>
      </c>
      <c r="B180">
        <v>37</v>
      </c>
      <c r="C180" t="str">
        <f t="shared" si="8"/>
        <v>Adult</v>
      </c>
      <c r="D180" t="s">
        <v>7</v>
      </c>
      <c r="E180" t="s">
        <v>18</v>
      </c>
      <c r="F180">
        <v>14</v>
      </c>
      <c r="G180" t="str">
        <f t="shared" si="9"/>
        <v>High</v>
      </c>
      <c r="H180">
        <v>1016</v>
      </c>
      <c r="I180" t="str">
        <f t="shared" si="10"/>
        <v>Moderate</v>
      </c>
      <c r="J180" t="s">
        <v>11</v>
      </c>
      <c r="K180" t="str">
        <f t="shared" si="11"/>
        <v>Medium Risk</v>
      </c>
    </row>
    <row r="181" spans="1:11" x14ac:dyDescent="0.35">
      <c r="A181">
        <v>181</v>
      </c>
      <c r="B181">
        <v>76</v>
      </c>
      <c r="C181" t="str">
        <f t="shared" si="8"/>
        <v>Senior</v>
      </c>
      <c r="D181" t="s">
        <v>14</v>
      </c>
      <c r="E181" t="s">
        <v>18</v>
      </c>
      <c r="F181">
        <v>5</v>
      </c>
      <c r="G181" t="str">
        <f t="shared" si="9"/>
        <v>Medium</v>
      </c>
      <c r="H181">
        <v>898</v>
      </c>
      <c r="I181" t="str">
        <f t="shared" si="10"/>
        <v>Moderate</v>
      </c>
      <c r="J181" t="s">
        <v>11</v>
      </c>
      <c r="K181" t="str">
        <f t="shared" si="11"/>
        <v>Medium Risk</v>
      </c>
    </row>
    <row r="182" spans="1:11" x14ac:dyDescent="0.35">
      <c r="A182">
        <v>182</v>
      </c>
      <c r="B182">
        <v>53</v>
      </c>
      <c r="C182" t="str">
        <f t="shared" si="8"/>
        <v>Adult</v>
      </c>
      <c r="D182" t="s">
        <v>14</v>
      </c>
      <c r="E182" t="s">
        <v>17</v>
      </c>
      <c r="F182">
        <v>10</v>
      </c>
      <c r="G182" t="str">
        <f t="shared" si="9"/>
        <v>High</v>
      </c>
      <c r="H182">
        <v>1157</v>
      </c>
      <c r="I182" t="str">
        <f t="shared" si="10"/>
        <v>Moderate</v>
      </c>
      <c r="J182" t="s">
        <v>9</v>
      </c>
      <c r="K182" t="str">
        <f t="shared" si="11"/>
        <v>Medium Risk</v>
      </c>
    </row>
    <row r="183" spans="1:11" x14ac:dyDescent="0.35">
      <c r="A183">
        <v>183</v>
      </c>
      <c r="B183">
        <v>36</v>
      </c>
      <c r="C183" t="str">
        <f t="shared" si="8"/>
        <v>Adult</v>
      </c>
      <c r="D183" t="s">
        <v>18</v>
      </c>
      <c r="E183" t="s">
        <v>18</v>
      </c>
      <c r="F183">
        <v>5</v>
      </c>
      <c r="G183" t="str">
        <f t="shared" si="9"/>
        <v>Medium</v>
      </c>
      <c r="H183">
        <v>738</v>
      </c>
      <c r="I183" t="str">
        <f t="shared" si="10"/>
        <v>Moderate</v>
      </c>
      <c r="J183" t="s">
        <v>18</v>
      </c>
      <c r="K183" t="str">
        <f t="shared" si="11"/>
        <v>Medium Risk</v>
      </c>
    </row>
    <row r="184" spans="1:11" x14ac:dyDescent="0.35">
      <c r="A184">
        <v>184</v>
      </c>
      <c r="B184">
        <v>84</v>
      </c>
      <c r="C184" t="str">
        <f t="shared" si="8"/>
        <v>Senior</v>
      </c>
      <c r="D184" t="s">
        <v>14</v>
      </c>
      <c r="E184" t="s">
        <v>10</v>
      </c>
      <c r="F184">
        <v>1</v>
      </c>
      <c r="G184" t="str">
        <f t="shared" si="9"/>
        <v>Low</v>
      </c>
      <c r="H184">
        <v>197</v>
      </c>
      <c r="I184" t="str">
        <f t="shared" si="10"/>
        <v>Low Cost</v>
      </c>
      <c r="J184" t="s">
        <v>15</v>
      </c>
      <c r="K184" t="str">
        <f t="shared" si="11"/>
        <v>Low Risk</v>
      </c>
    </row>
    <row r="185" spans="1:11" x14ac:dyDescent="0.35">
      <c r="A185">
        <v>185</v>
      </c>
      <c r="B185">
        <v>36</v>
      </c>
      <c r="C185" t="str">
        <f t="shared" si="8"/>
        <v>Adult</v>
      </c>
      <c r="D185" t="s">
        <v>14</v>
      </c>
      <c r="E185" t="s">
        <v>17</v>
      </c>
      <c r="F185">
        <v>14</v>
      </c>
      <c r="G185" t="str">
        <f t="shared" si="9"/>
        <v>High</v>
      </c>
      <c r="H185">
        <v>391</v>
      </c>
      <c r="I185" t="str">
        <f t="shared" si="10"/>
        <v>Low Cost</v>
      </c>
      <c r="J185" t="s">
        <v>15</v>
      </c>
      <c r="K185" t="str">
        <f t="shared" si="11"/>
        <v>Low Risk</v>
      </c>
    </row>
    <row r="186" spans="1:11" x14ac:dyDescent="0.35">
      <c r="A186">
        <v>186</v>
      </c>
      <c r="B186">
        <v>37</v>
      </c>
      <c r="C186" t="str">
        <f t="shared" si="8"/>
        <v>Adult</v>
      </c>
      <c r="D186" t="s">
        <v>18</v>
      </c>
      <c r="E186" t="s">
        <v>12</v>
      </c>
      <c r="F186">
        <v>10</v>
      </c>
      <c r="G186" t="str">
        <f t="shared" si="9"/>
        <v>High</v>
      </c>
      <c r="H186">
        <v>2573</v>
      </c>
      <c r="I186" t="str">
        <f t="shared" si="10"/>
        <v>High Cost</v>
      </c>
      <c r="J186" t="s">
        <v>11</v>
      </c>
      <c r="K186" t="str">
        <f t="shared" si="11"/>
        <v>High Risk</v>
      </c>
    </row>
    <row r="187" spans="1:11" x14ac:dyDescent="0.35">
      <c r="A187">
        <v>187</v>
      </c>
      <c r="B187">
        <v>69</v>
      </c>
      <c r="C187" t="str">
        <f t="shared" si="8"/>
        <v>Senior</v>
      </c>
      <c r="D187" t="s">
        <v>7</v>
      </c>
      <c r="E187" t="s">
        <v>13</v>
      </c>
      <c r="F187">
        <v>7</v>
      </c>
      <c r="G187" t="str">
        <f t="shared" si="9"/>
        <v>High</v>
      </c>
      <c r="H187">
        <v>1136</v>
      </c>
      <c r="I187" t="str">
        <f t="shared" si="10"/>
        <v>Moderate</v>
      </c>
      <c r="J187" t="s">
        <v>18</v>
      </c>
      <c r="K187" t="str">
        <f t="shared" si="11"/>
        <v>Medium Risk</v>
      </c>
    </row>
    <row r="188" spans="1:11" x14ac:dyDescent="0.35">
      <c r="A188">
        <v>188</v>
      </c>
      <c r="B188">
        <v>50</v>
      </c>
      <c r="C188" t="str">
        <f t="shared" si="8"/>
        <v>Adult</v>
      </c>
      <c r="D188" t="s">
        <v>14</v>
      </c>
      <c r="E188" t="s">
        <v>18</v>
      </c>
      <c r="F188">
        <v>12</v>
      </c>
      <c r="G188" t="str">
        <f t="shared" si="9"/>
        <v>High</v>
      </c>
      <c r="H188">
        <v>1774</v>
      </c>
      <c r="I188" t="str">
        <f t="shared" si="10"/>
        <v>High Cost</v>
      </c>
      <c r="J188" t="s">
        <v>18</v>
      </c>
      <c r="K188" t="str">
        <f t="shared" si="11"/>
        <v>High Risk</v>
      </c>
    </row>
    <row r="189" spans="1:11" x14ac:dyDescent="0.35">
      <c r="A189">
        <v>189</v>
      </c>
      <c r="B189">
        <v>57</v>
      </c>
      <c r="C189" t="str">
        <f t="shared" si="8"/>
        <v>Senior</v>
      </c>
      <c r="D189" t="s">
        <v>14</v>
      </c>
      <c r="E189" t="s">
        <v>12</v>
      </c>
      <c r="F189">
        <v>11</v>
      </c>
      <c r="G189" t="str">
        <f t="shared" si="9"/>
        <v>High</v>
      </c>
      <c r="H189">
        <v>1433</v>
      </c>
      <c r="I189" t="str">
        <f t="shared" si="10"/>
        <v>Moderate</v>
      </c>
      <c r="J189" t="s">
        <v>9</v>
      </c>
      <c r="K189" t="str">
        <f t="shared" si="11"/>
        <v>Medium Risk</v>
      </c>
    </row>
    <row r="190" spans="1:11" x14ac:dyDescent="0.35">
      <c r="A190">
        <v>190</v>
      </c>
      <c r="B190">
        <v>56</v>
      </c>
      <c r="C190" t="str">
        <f t="shared" si="8"/>
        <v>Senior</v>
      </c>
      <c r="D190" t="s">
        <v>14</v>
      </c>
      <c r="E190" t="s">
        <v>12</v>
      </c>
      <c r="F190">
        <v>4</v>
      </c>
      <c r="G190" t="str">
        <f t="shared" si="9"/>
        <v>Medium</v>
      </c>
      <c r="H190">
        <v>2658</v>
      </c>
      <c r="I190" t="str">
        <f t="shared" si="10"/>
        <v>High Cost</v>
      </c>
      <c r="J190" t="s">
        <v>15</v>
      </c>
      <c r="K190" t="str">
        <f t="shared" si="11"/>
        <v>Medium Risk</v>
      </c>
    </row>
    <row r="191" spans="1:11" x14ac:dyDescent="0.35">
      <c r="A191">
        <v>191</v>
      </c>
      <c r="B191">
        <v>18</v>
      </c>
      <c r="C191" t="str">
        <f t="shared" si="8"/>
        <v>Young Adult</v>
      </c>
      <c r="D191" t="s">
        <v>7</v>
      </c>
      <c r="E191" t="s">
        <v>8</v>
      </c>
      <c r="F191">
        <v>5</v>
      </c>
      <c r="G191" t="str">
        <f t="shared" si="9"/>
        <v>Medium</v>
      </c>
      <c r="H191">
        <v>376</v>
      </c>
      <c r="I191" t="str">
        <f t="shared" si="10"/>
        <v>Low Cost</v>
      </c>
      <c r="J191" t="s">
        <v>11</v>
      </c>
      <c r="K191" t="str">
        <f t="shared" si="11"/>
        <v>Medium Risk</v>
      </c>
    </row>
    <row r="192" spans="1:11" x14ac:dyDescent="0.35">
      <c r="A192">
        <v>192</v>
      </c>
      <c r="B192">
        <v>28</v>
      </c>
      <c r="C192" t="str">
        <f t="shared" si="8"/>
        <v>Young Adult</v>
      </c>
      <c r="D192" t="s">
        <v>14</v>
      </c>
      <c r="E192" t="s">
        <v>13</v>
      </c>
      <c r="F192">
        <v>3</v>
      </c>
      <c r="G192" t="str">
        <f t="shared" si="9"/>
        <v>Medium</v>
      </c>
      <c r="H192">
        <v>1842</v>
      </c>
      <c r="I192" t="str">
        <f t="shared" si="10"/>
        <v>High Cost</v>
      </c>
      <c r="J192" t="s">
        <v>18</v>
      </c>
      <c r="K192" t="str">
        <f t="shared" si="11"/>
        <v>Medium Risk</v>
      </c>
    </row>
    <row r="193" spans="1:11" x14ac:dyDescent="0.35">
      <c r="A193">
        <v>193</v>
      </c>
      <c r="B193">
        <v>74</v>
      </c>
      <c r="C193" t="str">
        <f t="shared" si="8"/>
        <v>Senior</v>
      </c>
      <c r="D193" t="s">
        <v>7</v>
      </c>
      <c r="E193" t="s">
        <v>12</v>
      </c>
      <c r="F193">
        <v>0</v>
      </c>
      <c r="G193" t="str">
        <f t="shared" si="9"/>
        <v>No Visits</v>
      </c>
      <c r="H193">
        <v>1809</v>
      </c>
      <c r="I193" t="str">
        <f t="shared" si="10"/>
        <v>High Cost</v>
      </c>
      <c r="J193" t="s">
        <v>15</v>
      </c>
      <c r="K193" t="str">
        <f t="shared" si="11"/>
        <v>Low Risk</v>
      </c>
    </row>
    <row r="194" spans="1:11" x14ac:dyDescent="0.35">
      <c r="A194">
        <v>194</v>
      </c>
      <c r="B194">
        <v>67</v>
      </c>
      <c r="C194" t="str">
        <f t="shared" si="8"/>
        <v>Senior</v>
      </c>
      <c r="D194" t="s">
        <v>18</v>
      </c>
      <c r="E194" t="s">
        <v>12</v>
      </c>
      <c r="F194">
        <v>10</v>
      </c>
      <c r="G194" t="str">
        <f t="shared" si="9"/>
        <v>High</v>
      </c>
      <c r="H194">
        <v>1039</v>
      </c>
      <c r="I194" t="str">
        <f t="shared" si="10"/>
        <v>Moderate</v>
      </c>
      <c r="J194" t="s">
        <v>11</v>
      </c>
      <c r="K194" t="str">
        <f t="shared" si="11"/>
        <v>Medium Risk</v>
      </c>
    </row>
    <row r="195" spans="1:11" x14ac:dyDescent="0.35">
      <c r="A195">
        <v>195</v>
      </c>
      <c r="B195">
        <v>40</v>
      </c>
      <c r="C195" t="str">
        <f t="shared" ref="C195:C219" si="12">IF(B195&lt;=17,"Child",IF(B195&lt;=35,"Young Adult",IF(B195&lt;=55,"Adult","Senior")))</f>
        <v>Adult</v>
      </c>
      <c r="D195" t="s">
        <v>18</v>
      </c>
      <c r="E195" t="s">
        <v>13</v>
      </c>
      <c r="F195">
        <v>11</v>
      </c>
      <c r="G195" t="str">
        <f t="shared" ref="G195:G219" si="13">IF(F195=0,"No Visits",IF(F195&lt;=2,"Low",IF(F195&lt;=5,"Medium","High")))</f>
        <v>High</v>
      </c>
      <c r="H195">
        <v>2312</v>
      </c>
      <c r="I195" t="str">
        <f t="shared" ref="I195:I219" si="14">IF(H195&lt;=500,"Low Cost",IF(H195&lt;=1500,"Moderate","High Cost"))</f>
        <v>High Cost</v>
      </c>
      <c r="J195" t="s">
        <v>11</v>
      </c>
      <c r="K195" t="str">
        <f t="shared" ref="K195:K219" si="15">IF(AND(G195="High",I195="High Cost"),"High Risk",IF(OR(C195="Senoir",G195="Medium",I195="Moderate"),"Medium Risk","Low Risk"))</f>
        <v>High Risk</v>
      </c>
    </row>
    <row r="196" spans="1:11" x14ac:dyDescent="0.35">
      <c r="A196">
        <v>196</v>
      </c>
      <c r="B196">
        <v>48</v>
      </c>
      <c r="C196" t="str">
        <f t="shared" si="12"/>
        <v>Adult</v>
      </c>
      <c r="D196" t="s">
        <v>7</v>
      </c>
      <c r="E196" t="s">
        <v>13</v>
      </c>
      <c r="F196">
        <v>14</v>
      </c>
      <c r="G196" t="str">
        <f t="shared" si="13"/>
        <v>High</v>
      </c>
      <c r="H196">
        <v>2532</v>
      </c>
      <c r="I196" t="str">
        <f t="shared" si="14"/>
        <v>High Cost</v>
      </c>
      <c r="J196" t="s">
        <v>16</v>
      </c>
      <c r="K196" t="str">
        <f t="shared" si="15"/>
        <v>High Risk</v>
      </c>
    </row>
    <row r="197" spans="1:11" x14ac:dyDescent="0.35">
      <c r="A197">
        <v>197</v>
      </c>
      <c r="B197">
        <v>59</v>
      </c>
      <c r="C197" t="str">
        <f t="shared" si="12"/>
        <v>Senior</v>
      </c>
      <c r="D197" t="s">
        <v>7</v>
      </c>
      <c r="E197" t="s">
        <v>12</v>
      </c>
      <c r="F197">
        <v>0</v>
      </c>
      <c r="G197" t="str">
        <f t="shared" si="13"/>
        <v>No Visits</v>
      </c>
      <c r="H197">
        <v>1001</v>
      </c>
      <c r="I197" t="str">
        <f t="shared" si="14"/>
        <v>Moderate</v>
      </c>
      <c r="J197" t="s">
        <v>18</v>
      </c>
      <c r="K197" t="str">
        <f t="shared" si="15"/>
        <v>Medium Risk</v>
      </c>
    </row>
    <row r="198" spans="1:11" x14ac:dyDescent="0.35">
      <c r="A198">
        <v>198</v>
      </c>
      <c r="B198">
        <v>24</v>
      </c>
      <c r="C198" t="str">
        <f t="shared" si="12"/>
        <v>Young Adult</v>
      </c>
      <c r="D198" t="s">
        <v>18</v>
      </c>
      <c r="E198" t="s">
        <v>13</v>
      </c>
      <c r="F198">
        <v>13</v>
      </c>
      <c r="G198" t="str">
        <f t="shared" si="13"/>
        <v>High</v>
      </c>
      <c r="H198">
        <v>772</v>
      </c>
      <c r="I198" t="str">
        <f t="shared" si="14"/>
        <v>Moderate</v>
      </c>
      <c r="J198" t="s">
        <v>16</v>
      </c>
      <c r="K198" t="str">
        <f t="shared" si="15"/>
        <v>Medium Risk</v>
      </c>
    </row>
    <row r="199" spans="1:11" x14ac:dyDescent="0.35">
      <c r="A199">
        <v>199</v>
      </c>
      <c r="B199">
        <v>33</v>
      </c>
      <c r="C199" t="str">
        <f t="shared" si="12"/>
        <v>Young Adult</v>
      </c>
      <c r="D199" t="s">
        <v>14</v>
      </c>
      <c r="E199" t="s">
        <v>12</v>
      </c>
      <c r="F199">
        <v>5</v>
      </c>
      <c r="G199" t="str">
        <f t="shared" si="13"/>
        <v>Medium</v>
      </c>
      <c r="H199">
        <v>2129</v>
      </c>
      <c r="I199" t="str">
        <f t="shared" si="14"/>
        <v>High Cost</v>
      </c>
      <c r="J199" t="s">
        <v>9</v>
      </c>
      <c r="K199" t="str">
        <f t="shared" si="15"/>
        <v>Medium Risk</v>
      </c>
    </row>
    <row r="200" spans="1:11" x14ac:dyDescent="0.35">
      <c r="A200">
        <v>200</v>
      </c>
      <c r="B200">
        <v>77</v>
      </c>
      <c r="C200" t="str">
        <f t="shared" si="12"/>
        <v>Senior</v>
      </c>
      <c r="D200" t="s">
        <v>7</v>
      </c>
      <c r="E200" t="s">
        <v>12</v>
      </c>
      <c r="F200">
        <v>4</v>
      </c>
      <c r="G200" t="str">
        <f t="shared" si="13"/>
        <v>Medium</v>
      </c>
      <c r="H200">
        <v>2767</v>
      </c>
      <c r="I200" t="str">
        <f t="shared" si="14"/>
        <v>High Cost</v>
      </c>
      <c r="J200" t="s">
        <v>16</v>
      </c>
      <c r="K200" t="str">
        <f t="shared" si="15"/>
        <v>Medium Risk</v>
      </c>
    </row>
    <row r="201" spans="1:11" x14ac:dyDescent="0.35">
      <c r="A201">
        <v>201</v>
      </c>
      <c r="B201">
        <v>19</v>
      </c>
      <c r="C201" t="str">
        <f t="shared" si="12"/>
        <v>Young Adult</v>
      </c>
      <c r="D201" t="s">
        <v>14</v>
      </c>
      <c r="E201" t="s">
        <v>8</v>
      </c>
      <c r="F201">
        <v>10</v>
      </c>
      <c r="G201" t="str">
        <f t="shared" si="13"/>
        <v>High</v>
      </c>
      <c r="H201">
        <v>2382</v>
      </c>
      <c r="I201" t="str">
        <f t="shared" si="14"/>
        <v>High Cost</v>
      </c>
      <c r="J201" t="s">
        <v>16</v>
      </c>
      <c r="K201" t="str">
        <f t="shared" si="15"/>
        <v>High Risk</v>
      </c>
    </row>
    <row r="202" spans="1:11" x14ac:dyDescent="0.35">
      <c r="A202">
        <v>202</v>
      </c>
      <c r="B202">
        <v>18</v>
      </c>
      <c r="C202" t="str">
        <f t="shared" si="12"/>
        <v>Young Adult</v>
      </c>
      <c r="D202" t="s">
        <v>14</v>
      </c>
      <c r="E202" t="s">
        <v>10</v>
      </c>
      <c r="F202">
        <v>3</v>
      </c>
      <c r="G202" t="str">
        <f t="shared" si="13"/>
        <v>Medium</v>
      </c>
      <c r="H202">
        <v>478</v>
      </c>
      <c r="I202" t="str">
        <f t="shared" si="14"/>
        <v>Low Cost</v>
      </c>
      <c r="J202" t="s">
        <v>15</v>
      </c>
      <c r="K202" t="str">
        <f t="shared" si="15"/>
        <v>Medium Risk</v>
      </c>
    </row>
    <row r="203" spans="1:11" x14ac:dyDescent="0.35">
      <c r="A203">
        <v>203</v>
      </c>
      <c r="B203">
        <v>65</v>
      </c>
      <c r="C203" t="str">
        <f t="shared" si="12"/>
        <v>Senior</v>
      </c>
      <c r="D203" t="s">
        <v>7</v>
      </c>
      <c r="E203" t="s">
        <v>12</v>
      </c>
      <c r="F203">
        <v>12</v>
      </c>
      <c r="G203" t="str">
        <f t="shared" si="13"/>
        <v>High</v>
      </c>
      <c r="H203">
        <v>1550</v>
      </c>
      <c r="I203" t="str">
        <f t="shared" si="14"/>
        <v>High Cost</v>
      </c>
      <c r="J203" t="s">
        <v>18</v>
      </c>
      <c r="K203" t="str">
        <f t="shared" si="15"/>
        <v>High Risk</v>
      </c>
    </row>
    <row r="204" spans="1:11" x14ac:dyDescent="0.35">
      <c r="A204">
        <v>204</v>
      </c>
      <c r="B204">
        <v>29</v>
      </c>
      <c r="C204" t="str">
        <f t="shared" si="12"/>
        <v>Young Adult</v>
      </c>
      <c r="D204" t="s">
        <v>18</v>
      </c>
      <c r="E204" t="s">
        <v>17</v>
      </c>
      <c r="F204">
        <v>10</v>
      </c>
      <c r="G204" t="str">
        <f t="shared" si="13"/>
        <v>High</v>
      </c>
      <c r="H204">
        <v>335</v>
      </c>
      <c r="I204" t="str">
        <f t="shared" si="14"/>
        <v>Low Cost</v>
      </c>
      <c r="J204" t="s">
        <v>11</v>
      </c>
      <c r="K204" t="str">
        <f t="shared" si="15"/>
        <v>Low Risk</v>
      </c>
    </row>
    <row r="205" spans="1:11" x14ac:dyDescent="0.35">
      <c r="A205">
        <v>206</v>
      </c>
      <c r="B205">
        <v>54</v>
      </c>
      <c r="C205" t="str">
        <f t="shared" si="12"/>
        <v>Adult</v>
      </c>
      <c r="D205" t="s">
        <v>7</v>
      </c>
      <c r="E205" t="s">
        <v>18</v>
      </c>
      <c r="F205">
        <v>0</v>
      </c>
      <c r="G205" t="str">
        <f t="shared" si="13"/>
        <v>No Visits</v>
      </c>
      <c r="H205">
        <v>818</v>
      </c>
      <c r="I205" t="str">
        <f t="shared" si="14"/>
        <v>Moderate</v>
      </c>
      <c r="J205" t="s">
        <v>16</v>
      </c>
      <c r="K205" t="str">
        <f t="shared" si="15"/>
        <v>Medium Risk</v>
      </c>
    </row>
    <row r="206" spans="1:11" x14ac:dyDescent="0.35">
      <c r="A206">
        <v>207</v>
      </c>
      <c r="B206">
        <v>49</v>
      </c>
      <c r="C206" t="str">
        <f t="shared" si="12"/>
        <v>Adult</v>
      </c>
      <c r="D206" t="s">
        <v>7</v>
      </c>
      <c r="E206" t="s">
        <v>10</v>
      </c>
      <c r="F206">
        <v>5</v>
      </c>
      <c r="G206" t="str">
        <f t="shared" si="13"/>
        <v>Medium</v>
      </c>
      <c r="H206">
        <v>2687</v>
      </c>
      <c r="I206" t="str">
        <f t="shared" si="14"/>
        <v>High Cost</v>
      </c>
      <c r="J206" t="s">
        <v>18</v>
      </c>
      <c r="K206" t="str">
        <f t="shared" si="15"/>
        <v>Medium Risk</v>
      </c>
    </row>
    <row r="207" spans="1:11" x14ac:dyDescent="0.35">
      <c r="A207">
        <v>208</v>
      </c>
      <c r="B207">
        <v>26</v>
      </c>
      <c r="C207" t="str">
        <f t="shared" si="12"/>
        <v>Young Adult</v>
      </c>
      <c r="D207" t="s">
        <v>7</v>
      </c>
      <c r="E207" t="s">
        <v>10</v>
      </c>
      <c r="F207">
        <v>9</v>
      </c>
      <c r="G207" t="str">
        <f t="shared" si="13"/>
        <v>High</v>
      </c>
      <c r="H207">
        <v>1444</v>
      </c>
      <c r="I207" t="str">
        <f t="shared" si="14"/>
        <v>Moderate</v>
      </c>
      <c r="J207" t="s">
        <v>18</v>
      </c>
      <c r="K207" t="str">
        <f t="shared" si="15"/>
        <v>Medium Risk</v>
      </c>
    </row>
    <row r="208" spans="1:11" x14ac:dyDescent="0.35">
      <c r="A208">
        <v>209</v>
      </c>
      <c r="B208">
        <v>36</v>
      </c>
      <c r="C208" t="str">
        <f t="shared" si="12"/>
        <v>Adult</v>
      </c>
      <c r="D208" t="s">
        <v>14</v>
      </c>
      <c r="E208" t="s">
        <v>10</v>
      </c>
      <c r="F208">
        <v>4</v>
      </c>
      <c r="G208" t="str">
        <f t="shared" si="13"/>
        <v>Medium</v>
      </c>
      <c r="H208">
        <v>243</v>
      </c>
      <c r="I208" t="str">
        <f t="shared" si="14"/>
        <v>Low Cost</v>
      </c>
      <c r="J208" t="s">
        <v>18</v>
      </c>
      <c r="K208" t="str">
        <f t="shared" si="15"/>
        <v>Medium Risk</v>
      </c>
    </row>
    <row r="209" spans="1:11" x14ac:dyDescent="0.35">
      <c r="A209">
        <v>210</v>
      </c>
      <c r="B209">
        <v>65</v>
      </c>
      <c r="C209" t="str">
        <f t="shared" si="12"/>
        <v>Senior</v>
      </c>
      <c r="D209" t="s">
        <v>14</v>
      </c>
      <c r="E209" t="s">
        <v>8</v>
      </c>
      <c r="F209">
        <v>9</v>
      </c>
      <c r="G209" t="str">
        <f t="shared" si="13"/>
        <v>High</v>
      </c>
      <c r="H209">
        <v>2599</v>
      </c>
      <c r="I209" t="str">
        <f t="shared" si="14"/>
        <v>High Cost</v>
      </c>
      <c r="J209" t="s">
        <v>16</v>
      </c>
      <c r="K209" t="str">
        <f t="shared" si="15"/>
        <v>High Risk</v>
      </c>
    </row>
    <row r="210" spans="1:11" x14ac:dyDescent="0.35">
      <c r="A210">
        <v>211</v>
      </c>
      <c r="B210">
        <v>20</v>
      </c>
      <c r="C210" t="str">
        <f t="shared" si="12"/>
        <v>Young Adult</v>
      </c>
      <c r="D210" t="s">
        <v>7</v>
      </c>
      <c r="E210" t="s">
        <v>12</v>
      </c>
      <c r="F210">
        <v>11</v>
      </c>
      <c r="G210" t="str">
        <f t="shared" si="13"/>
        <v>High</v>
      </c>
      <c r="H210">
        <v>1037</v>
      </c>
      <c r="I210" t="str">
        <f t="shared" si="14"/>
        <v>Moderate</v>
      </c>
      <c r="J210" t="s">
        <v>9</v>
      </c>
      <c r="K210" t="str">
        <f t="shared" si="15"/>
        <v>Medium Risk</v>
      </c>
    </row>
    <row r="211" spans="1:11" x14ac:dyDescent="0.35">
      <c r="A211">
        <v>212</v>
      </c>
      <c r="B211">
        <v>37</v>
      </c>
      <c r="C211" t="str">
        <f t="shared" si="12"/>
        <v>Adult</v>
      </c>
      <c r="D211" t="s">
        <v>7</v>
      </c>
      <c r="E211" t="s">
        <v>8</v>
      </c>
      <c r="F211">
        <v>1</v>
      </c>
      <c r="G211" t="str">
        <f t="shared" si="13"/>
        <v>Low</v>
      </c>
      <c r="H211">
        <v>1186</v>
      </c>
      <c r="I211" t="str">
        <f t="shared" si="14"/>
        <v>Moderate</v>
      </c>
      <c r="J211" t="s">
        <v>16</v>
      </c>
      <c r="K211" t="str">
        <f t="shared" si="15"/>
        <v>Medium Risk</v>
      </c>
    </row>
    <row r="212" spans="1:11" x14ac:dyDescent="0.35">
      <c r="A212">
        <v>213</v>
      </c>
      <c r="B212">
        <v>41</v>
      </c>
      <c r="C212" t="str">
        <f t="shared" si="12"/>
        <v>Adult</v>
      </c>
      <c r="D212" t="s">
        <v>18</v>
      </c>
      <c r="E212" t="s">
        <v>12</v>
      </c>
      <c r="F212">
        <v>12</v>
      </c>
      <c r="G212" t="str">
        <f t="shared" si="13"/>
        <v>High</v>
      </c>
      <c r="H212">
        <v>2211</v>
      </c>
      <c r="I212" t="str">
        <f t="shared" si="14"/>
        <v>High Cost</v>
      </c>
      <c r="J212" t="s">
        <v>15</v>
      </c>
      <c r="K212" t="str">
        <f t="shared" si="15"/>
        <v>High Risk</v>
      </c>
    </row>
    <row r="213" spans="1:11" x14ac:dyDescent="0.35">
      <c r="A213">
        <v>214</v>
      </c>
      <c r="B213">
        <v>71</v>
      </c>
      <c r="C213" t="str">
        <f t="shared" si="12"/>
        <v>Senior</v>
      </c>
      <c r="D213" t="s">
        <v>7</v>
      </c>
      <c r="E213" t="s">
        <v>8</v>
      </c>
      <c r="F213">
        <v>7</v>
      </c>
      <c r="G213" t="str">
        <f t="shared" si="13"/>
        <v>High</v>
      </c>
      <c r="H213">
        <v>1751</v>
      </c>
      <c r="I213" t="str">
        <f t="shared" si="14"/>
        <v>High Cost</v>
      </c>
      <c r="J213" t="s">
        <v>11</v>
      </c>
      <c r="K213" t="str">
        <f t="shared" si="15"/>
        <v>High Risk</v>
      </c>
    </row>
    <row r="214" spans="1:11" x14ac:dyDescent="0.35">
      <c r="A214">
        <v>215</v>
      </c>
      <c r="B214">
        <v>50</v>
      </c>
      <c r="C214" t="str">
        <f t="shared" si="12"/>
        <v>Adult</v>
      </c>
      <c r="D214" t="s">
        <v>18</v>
      </c>
      <c r="E214" t="s">
        <v>8</v>
      </c>
      <c r="F214">
        <v>1</v>
      </c>
      <c r="G214" t="str">
        <f t="shared" si="13"/>
        <v>Low</v>
      </c>
      <c r="H214">
        <v>996</v>
      </c>
      <c r="I214" t="str">
        <f t="shared" si="14"/>
        <v>Moderate</v>
      </c>
      <c r="J214" t="s">
        <v>9</v>
      </c>
      <c r="K214" t="str">
        <f t="shared" si="15"/>
        <v>Medium Risk</v>
      </c>
    </row>
    <row r="215" spans="1:11" x14ac:dyDescent="0.35">
      <c r="A215">
        <v>216</v>
      </c>
      <c r="B215">
        <v>41</v>
      </c>
      <c r="C215" t="str">
        <f t="shared" si="12"/>
        <v>Adult</v>
      </c>
      <c r="D215" t="s">
        <v>14</v>
      </c>
      <c r="E215" t="s">
        <v>18</v>
      </c>
      <c r="F215">
        <v>0</v>
      </c>
      <c r="G215" t="str">
        <f t="shared" si="13"/>
        <v>No Visits</v>
      </c>
      <c r="H215">
        <v>880</v>
      </c>
      <c r="I215" t="str">
        <f t="shared" si="14"/>
        <v>Moderate</v>
      </c>
      <c r="J215" t="s">
        <v>16</v>
      </c>
      <c r="K215" t="str">
        <f t="shared" si="15"/>
        <v>Medium Risk</v>
      </c>
    </row>
    <row r="216" spans="1:11" x14ac:dyDescent="0.35">
      <c r="A216">
        <v>217</v>
      </c>
      <c r="B216">
        <v>53</v>
      </c>
      <c r="C216" t="str">
        <f t="shared" si="12"/>
        <v>Adult</v>
      </c>
      <c r="D216" t="s">
        <v>18</v>
      </c>
      <c r="E216" t="s">
        <v>17</v>
      </c>
      <c r="F216">
        <v>4</v>
      </c>
      <c r="G216" t="str">
        <f t="shared" si="13"/>
        <v>Medium</v>
      </c>
      <c r="H216">
        <v>1970</v>
      </c>
      <c r="I216" t="str">
        <f t="shared" si="14"/>
        <v>High Cost</v>
      </c>
      <c r="J216" t="s">
        <v>18</v>
      </c>
      <c r="K216" t="str">
        <f t="shared" si="15"/>
        <v>Medium Risk</v>
      </c>
    </row>
    <row r="217" spans="1:11" x14ac:dyDescent="0.35">
      <c r="A217">
        <v>218</v>
      </c>
      <c r="B217">
        <v>55</v>
      </c>
      <c r="C217" t="str">
        <f t="shared" si="12"/>
        <v>Adult</v>
      </c>
      <c r="D217" t="s">
        <v>7</v>
      </c>
      <c r="E217" t="s">
        <v>8</v>
      </c>
      <c r="F217">
        <v>8</v>
      </c>
      <c r="G217" t="str">
        <f t="shared" si="13"/>
        <v>High</v>
      </c>
      <c r="H217">
        <v>104</v>
      </c>
      <c r="I217" t="str">
        <f t="shared" si="14"/>
        <v>Low Cost</v>
      </c>
      <c r="J217" t="s">
        <v>9</v>
      </c>
      <c r="K217" t="str">
        <f t="shared" si="15"/>
        <v>Low Risk</v>
      </c>
    </row>
    <row r="218" spans="1:11" x14ac:dyDescent="0.35">
      <c r="A218">
        <v>219</v>
      </c>
      <c r="B218">
        <v>42</v>
      </c>
      <c r="C218" t="str">
        <f t="shared" si="12"/>
        <v>Adult</v>
      </c>
      <c r="D218" t="s">
        <v>14</v>
      </c>
      <c r="E218" t="s">
        <v>18</v>
      </c>
      <c r="F218">
        <v>10</v>
      </c>
      <c r="G218" t="str">
        <f t="shared" si="13"/>
        <v>High</v>
      </c>
      <c r="H218">
        <v>849</v>
      </c>
      <c r="I218" t="str">
        <f t="shared" si="14"/>
        <v>Moderate</v>
      </c>
      <c r="J218" t="s">
        <v>9</v>
      </c>
      <c r="K218" t="str">
        <f t="shared" si="15"/>
        <v>Medium Risk</v>
      </c>
    </row>
    <row r="219" spans="1:11" x14ac:dyDescent="0.35">
      <c r="A219">
        <v>220</v>
      </c>
      <c r="B219">
        <v>35</v>
      </c>
      <c r="C219" t="str">
        <f t="shared" si="12"/>
        <v>Young Adult</v>
      </c>
      <c r="D219" t="s">
        <v>18</v>
      </c>
      <c r="E219" t="s">
        <v>13</v>
      </c>
      <c r="F219">
        <v>8</v>
      </c>
      <c r="G219" t="str">
        <f t="shared" si="13"/>
        <v>High</v>
      </c>
      <c r="H219">
        <v>827</v>
      </c>
      <c r="I219" t="str">
        <f t="shared" si="14"/>
        <v>Moderate</v>
      </c>
      <c r="J219" t="s">
        <v>16</v>
      </c>
      <c r="K219" t="str">
        <f t="shared" si="15"/>
        <v>Medium Risk</v>
      </c>
    </row>
  </sheetData>
  <conditionalFormatting sqref="B225:C1048576 B2:B219">
    <cfRule type="cellIs" dxfId="2" priority="2" operator="greaterThan">
      <formula>100</formula>
    </cfRule>
    <cfRule type="cellIs" dxfId="1" priority="3" operator="greaterThan">
      <formula>100</formula>
    </cfRule>
    <cfRule type="cellIs" dxfId="0" priority="4" operator="lessThan">
      <formula>0</formula>
    </cfRule>
  </conditionalFormatting>
  <conditionalFormatting sqref="A1 A2:B219 D1:J219 K1">
    <cfRule type="duplicateValues" priority="7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Messy_medical_patient_dataset</vt:lpstr>
      <vt:lpstr>Messy_medical_patient_dataset!Criteria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Victor Serem</cp:lastModifiedBy>
  <dcterms:created xsi:type="dcterms:W3CDTF">2026-02-08T09:04:40Z</dcterms:created>
  <dcterms:modified xsi:type="dcterms:W3CDTF">2026-02-09T14:57:39Z</dcterms:modified>
</cp:coreProperties>
</file>