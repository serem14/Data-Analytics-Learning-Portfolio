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Analysis Resources\Personal Projects\"/>
    </mc:Choice>
  </mc:AlternateContent>
  <xr:revisionPtr revIDLastSave="0" documentId="13_ncr:1_{EAA27EA8-7B07-4B40-A868-30B47C82AA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ssy_customer_behaviour_datase" sheetId="1" r:id="rId1"/>
  </sheets>
  <definedNames>
    <definedName name="_xlnm._FilterDatabase" localSheetId="0" hidden="1">Messy_customer_behaviour_datase!$M$1:$M$221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" i="1"/>
  <c r="F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" i="1"/>
  <c r="I2" i="1" s="1"/>
  <c r="L155" i="1" l="1"/>
  <c r="M155" i="1" s="1"/>
  <c r="L8" i="1"/>
  <c r="M8" i="1" s="1"/>
  <c r="L169" i="1"/>
  <c r="M169" i="1" s="1"/>
  <c r="L105" i="1"/>
  <c r="M105" i="1" s="1"/>
  <c r="L89" i="1"/>
  <c r="M89" i="1" s="1"/>
  <c r="L73" i="1"/>
  <c r="M73" i="1" s="1"/>
  <c r="L57" i="1"/>
  <c r="M57" i="1" s="1"/>
  <c r="L41" i="1"/>
  <c r="M41" i="1" s="1"/>
  <c r="L154" i="1"/>
  <c r="M154" i="1" s="1"/>
  <c r="L9" i="1"/>
  <c r="M9" i="1" s="1"/>
  <c r="L176" i="1"/>
  <c r="M176" i="1" s="1"/>
  <c r="L112" i="1"/>
  <c r="M112" i="1" s="1"/>
  <c r="L80" i="1"/>
  <c r="M80" i="1" s="1"/>
  <c r="L48" i="1"/>
  <c r="M48" i="1" s="1"/>
  <c r="L16" i="1"/>
  <c r="M16" i="1" s="1"/>
  <c r="L207" i="1"/>
  <c r="M207" i="1" s="1"/>
  <c r="L175" i="1"/>
  <c r="M175" i="1" s="1"/>
  <c r="L111" i="1"/>
  <c r="M111" i="1" s="1"/>
  <c r="L79" i="1"/>
  <c r="M79" i="1" s="1"/>
  <c r="L47" i="1"/>
  <c r="M47" i="1" s="1"/>
  <c r="L15" i="1"/>
  <c r="M15" i="1" s="1"/>
  <c r="L25" i="1"/>
  <c r="M25" i="1" s="1"/>
  <c r="L168" i="1"/>
  <c r="M168" i="1" s="1"/>
  <c r="L104" i="1"/>
  <c r="M104" i="1" s="1"/>
  <c r="L4" i="1"/>
  <c r="M4" i="1" s="1"/>
  <c r="L219" i="1"/>
  <c r="M219" i="1" s="1"/>
  <c r="L179" i="1"/>
  <c r="M179" i="1" s="1"/>
  <c r="L115" i="1"/>
  <c r="M115" i="1" s="1"/>
  <c r="L218" i="1"/>
  <c r="M218" i="1" s="1"/>
  <c r="L217" i="1"/>
  <c r="M217" i="1" s="1"/>
  <c r="L201" i="1"/>
  <c r="M201" i="1" s="1"/>
  <c r="L185" i="1"/>
  <c r="M185" i="1" s="1"/>
  <c r="L153" i="1"/>
  <c r="M153" i="1" s="1"/>
  <c r="L137" i="1"/>
  <c r="M137" i="1" s="1"/>
  <c r="L121" i="1"/>
  <c r="M121" i="1" s="1"/>
  <c r="L216" i="1"/>
  <c r="M216" i="1" s="1"/>
  <c r="L184" i="1"/>
  <c r="M184" i="1" s="1"/>
  <c r="L152" i="1"/>
  <c r="M152" i="1" s="1"/>
  <c r="L120" i="1"/>
  <c r="M120" i="1" s="1"/>
  <c r="L24" i="1"/>
  <c r="M24" i="1" s="1"/>
  <c r="L88" i="1"/>
  <c r="M88" i="1" s="1"/>
  <c r="L200" i="1"/>
  <c r="M200" i="1" s="1"/>
  <c r="L136" i="1"/>
  <c r="M136" i="1" s="1"/>
  <c r="L72" i="1"/>
  <c r="M72" i="1" s="1"/>
  <c r="L56" i="1"/>
  <c r="M56" i="1" s="1"/>
  <c r="L40" i="1"/>
  <c r="M40" i="1" s="1"/>
  <c r="L192" i="1"/>
  <c r="M192" i="1" s="1"/>
  <c r="L64" i="1"/>
  <c r="M64" i="1" s="1"/>
  <c r="L208" i="1"/>
  <c r="M208" i="1" s="1"/>
  <c r="L151" i="1"/>
  <c r="M151" i="1" s="1"/>
  <c r="L103" i="1"/>
  <c r="M103" i="1" s="1"/>
  <c r="L2" i="1"/>
  <c r="M2" i="1" s="1"/>
  <c r="L214" i="1"/>
  <c r="M214" i="1" s="1"/>
  <c r="L206" i="1"/>
  <c r="M206" i="1" s="1"/>
  <c r="L198" i="1"/>
  <c r="M198" i="1" s="1"/>
  <c r="L190" i="1"/>
  <c r="M190" i="1" s="1"/>
  <c r="L182" i="1"/>
  <c r="M182" i="1" s="1"/>
  <c r="L174" i="1"/>
  <c r="M174" i="1" s="1"/>
  <c r="L166" i="1"/>
  <c r="M166" i="1" s="1"/>
  <c r="L158" i="1"/>
  <c r="M158" i="1" s="1"/>
  <c r="L150" i="1"/>
  <c r="M150" i="1" s="1"/>
  <c r="L142" i="1"/>
  <c r="M142" i="1" s="1"/>
  <c r="L134" i="1"/>
  <c r="M134" i="1" s="1"/>
  <c r="L6" i="1"/>
  <c r="M6" i="1" s="1"/>
  <c r="L11" i="1"/>
  <c r="M11" i="1" s="1"/>
  <c r="L194" i="1"/>
  <c r="M194" i="1" s="1"/>
  <c r="L144" i="1"/>
  <c r="M144" i="1" s="1"/>
  <c r="L135" i="1"/>
  <c r="M135" i="1" s="1"/>
  <c r="L71" i="1"/>
  <c r="M71" i="1" s="1"/>
  <c r="L221" i="1"/>
  <c r="M221" i="1" s="1"/>
  <c r="L213" i="1"/>
  <c r="M213" i="1" s="1"/>
  <c r="L205" i="1"/>
  <c r="M205" i="1" s="1"/>
  <c r="L197" i="1"/>
  <c r="M197" i="1" s="1"/>
  <c r="L189" i="1"/>
  <c r="M189" i="1" s="1"/>
  <c r="L181" i="1"/>
  <c r="M181" i="1" s="1"/>
  <c r="L173" i="1"/>
  <c r="M173" i="1" s="1"/>
  <c r="L165" i="1"/>
  <c r="M165" i="1" s="1"/>
  <c r="L157" i="1"/>
  <c r="M157" i="1" s="1"/>
  <c r="L149" i="1"/>
  <c r="M149" i="1" s="1"/>
  <c r="L141" i="1"/>
  <c r="M141" i="1" s="1"/>
  <c r="L133" i="1"/>
  <c r="M133" i="1" s="1"/>
  <c r="L125" i="1"/>
  <c r="M125" i="1" s="1"/>
  <c r="L13" i="1"/>
  <c r="M13" i="1" s="1"/>
  <c r="L5" i="1"/>
  <c r="M5" i="1" s="1"/>
  <c r="L7" i="1"/>
  <c r="M7" i="1" s="1"/>
  <c r="L193" i="1"/>
  <c r="M193" i="1" s="1"/>
  <c r="L143" i="1"/>
  <c r="M143" i="1" s="1"/>
  <c r="L128" i="1"/>
  <c r="M128" i="1" s="1"/>
  <c r="L96" i="1"/>
  <c r="M96" i="1" s="1"/>
  <c r="L215" i="1"/>
  <c r="M215" i="1" s="1"/>
  <c r="L167" i="1"/>
  <c r="M167" i="1" s="1"/>
  <c r="L55" i="1"/>
  <c r="M55" i="1" s="1"/>
  <c r="L23" i="1"/>
  <c r="M23" i="1" s="1"/>
  <c r="L220" i="1"/>
  <c r="M220" i="1" s="1"/>
  <c r="L212" i="1"/>
  <c r="M212" i="1" s="1"/>
  <c r="L204" i="1"/>
  <c r="M204" i="1" s="1"/>
  <c r="L196" i="1"/>
  <c r="M196" i="1" s="1"/>
  <c r="L188" i="1"/>
  <c r="M188" i="1" s="1"/>
  <c r="L180" i="1"/>
  <c r="M180" i="1" s="1"/>
  <c r="L172" i="1"/>
  <c r="M172" i="1" s="1"/>
  <c r="L164" i="1"/>
  <c r="M164" i="1" s="1"/>
  <c r="L156" i="1"/>
  <c r="M156" i="1" s="1"/>
  <c r="L148" i="1"/>
  <c r="M148" i="1" s="1"/>
  <c r="L140" i="1"/>
  <c r="M140" i="1" s="1"/>
  <c r="L132" i="1"/>
  <c r="M132" i="1" s="1"/>
  <c r="L124" i="1"/>
  <c r="M124" i="1" s="1"/>
  <c r="L116" i="1"/>
  <c r="M116" i="1" s="1"/>
  <c r="L108" i="1"/>
  <c r="M108" i="1" s="1"/>
  <c r="L100" i="1"/>
  <c r="M100" i="1" s="1"/>
  <c r="L92" i="1"/>
  <c r="M92" i="1" s="1"/>
  <c r="L84" i="1"/>
  <c r="M84" i="1" s="1"/>
  <c r="L76" i="1"/>
  <c r="M76" i="1" s="1"/>
  <c r="L68" i="1"/>
  <c r="M68" i="1" s="1"/>
  <c r="L60" i="1"/>
  <c r="M60" i="1" s="1"/>
  <c r="L52" i="1"/>
  <c r="M52" i="1" s="1"/>
  <c r="L44" i="1"/>
  <c r="M44" i="1" s="1"/>
  <c r="L36" i="1"/>
  <c r="M36" i="1" s="1"/>
  <c r="L28" i="1"/>
  <c r="M28" i="1" s="1"/>
  <c r="L20" i="1"/>
  <c r="M20" i="1" s="1"/>
  <c r="L12" i="1"/>
  <c r="M12" i="1" s="1"/>
  <c r="L26" i="1"/>
  <c r="M26" i="1" s="1"/>
  <c r="L183" i="1"/>
  <c r="M183" i="1" s="1"/>
  <c r="L130" i="1"/>
  <c r="M130" i="1" s="1"/>
  <c r="L160" i="1"/>
  <c r="M160" i="1" s="1"/>
  <c r="L159" i="1"/>
  <c r="M159" i="1" s="1"/>
  <c r="L95" i="1"/>
  <c r="M95" i="1" s="1"/>
  <c r="L211" i="1"/>
  <c r="M211" i="1" s="1"/>
  <c r="L203" i="1"/>
  <c r="M203" i="1" s="1"/>
  <c r="L195" i="1"/>
  <c r="M195" i="1" s="1"/>
  <c r="L187" i="1"/>
  <c r="M187" i="1" s="1"/>
  <c r="L171" i="1"/>
  <c r="M171" i="1" s="1"/>
  <c r="L163" i="1"/>
  <c r="M163" i="1" s="1"/>
  <c r="L147" i="1"/>
  <c r="M147" i="1" s="1"/>
  <c r="L139" i="1"/>
  <c r="M139" i="1" s="1"/>
  <c r="L131" i="1"/>
  <c r="M131" i="1" s="1"/>
  <c r="L123" i="1"/>
  <c r="M123" i="1" s="1"/>
  <c r="L107" i="1"/>
  <c r="M107" i="1" s="1"/>
  <c r="L99" i="1"/>
  <c r="M99" i="1" s="1"/>
  <c r="L91" i="1"/>
  <c r="M91" i="1" s="1"/>
  <c r="L83" i="1"/>
  <c r="M83" i="1" s="1"/>
  <c r="L75" i="1"/>
  <c r="M75" i="1" s="1"/>
  <c r="L67" i="1"/>
  <c r="M67" i="1" s="1"/>
  <c r="L59" i="1"/>
  <c r="M59" i="1" s="1"/>
  <c r="L51" i="1"/>
  <c r="M51" i="1" s="1"/>
  <c r="L43" i="1"/>
  <c r="M43" i="1" s="1"/>
  <c r="L35" i="1"/>
  <c r="M35" i="1" s="1"/>
  <c r="L27" i="1"/>
  <c r="M27" i="1" s="1"/>
  <c r="L19" i="1"/>
  <c r="M19" i="1" s="1"/>
  <c r="L3" i="1"/>
  <c r="M3" i="1" s="1"/>
  <c r="L129" i="1"/>
  <c r="M129" i="1" s="1"/>
  <c r="L32" i="1"/>
  <c r="M32" i="1" s="1"/>
  <c r="L199" i="1"/>
  <c r="M199" i="1" s="1"/>
  <c r="L127" i="1"/>
  <c r="M127" i="1" s="1"/>
  <c r="L87" i="1"/>
  <c r="M87" i="1" s="1"/>
  <c r="L39" i="1"/>
  <c r="M39" i="1" s="1"/>
  <c r="L210" i="1"/>
  <c r="M210" i="1" s="1"/>
  <c r="L202" i="1"/>
  <c r="M202" i="1" s="1"/>
  <c r="L186" i="1"/>
  <c r="M186" i="1" s="1"/>
  <c r="L178" i="1"/>
  <c r="M178" i="1" s="1"/>
  <c r="L170" i="1"/>
  <c r="M170" i="1" s="1"/>
  <c r="L162" i="1"/>
  <c r="M162" i="1" s="1"/>
  <c r="L146" i="1"/>
  <c r="M146" i="1" s="1"/>
  <c r="L138" i="1"/>
  <c r="M138" i="1" s="1"/>
  <c r="L122" i="1"/>
  <c r="M122" i="1" s="1"/>
  <c r="L114" i="1"/>
  <c r="M114" i="1" s="1"/>
  <c r="L106" i="1"/>
  <c r="M106" i="1" s="1"/>
  <c r="L98" i="1"/>
  <c r="M98" i="1" s="1"/>
  <c r="L90" i="1"/>
  <c r="M90" i="1" s="1"/>
  <c r="L82" i="1"/>
  <c r="M82" i="1" s="1"/>
  <c r="L74" i="1"/>
  <c r="M74" i="1" s="1"/>
  <c r="L66" i="1"/>
  <c r="M66" i="1" s="1"/>
  <c r="L58" i="1"/>
  <c r="M58" i="1" s="1"/>
  <c r="L50" i="1"/>
  <c r="M50" i="1" s="1"/>
  <c r="L42" i="1"/>
  <c r="M42" i="1" s="1"/>
  <c r="L34" i="1"/>
  <c r="M34" i="1" s="1"/>
  <c r="L18" i="1"/>
  <c r="M18" i="1" s="1"/>
  <c r="L10" i="1"/>
  <c r="M10" i="1" s="1"/>
  <c r="L119" i="1"/>
  <c r="M119" i="1" s="1"/>
  <c r="L191" i="1"/>
  <c r="M191" i="1" s="1"/>
  <c r="L63" i="1"/>
  <c r="M63" i="1" s="1"/>
  <c r="L31" i="1"/>
  <c r="M31" i="1" s="1"/>
  <c r="L209" i="1"/>
  <c r="M209" i="1" s="1"/>
  <c r="L177" i="1"/>
  <c r="M177" i="1" s="1"/>
  <c r="L161" i="1"/>
  <c r="M161" i="1" s="1"/>
  <c r="L145" i="1"/>
  <c r="M145" i="1" s="1"/>
  <c r="L113" i="1"/>
  <c r="M113" i="1" s="1"/>
  <c r="L97" i="1"/>
  <c r="M97" i="1" s="1"/>
  <c r="L81" i="1"/>
  <c r="M81" i="1" s="1"/>
  <c r="L65" i="1"/>
  <c r="M65" i="1" s="1"/>
  <c r="L49" i="1"/>
  <c r="M49" i="1" s="1"/>
  <c r="L33" i="1"/>
  <c r="M33" i="1" s="1"/>
  <c r="L17" i="1"/>
  <c r="M17" i="1" s="1"/>
  <c r="L126" i="1"/>
  <c r="M126" i="1" s="1"/>
  <c r="L118" i="1"/>
  <c r="M118" i="1" s="1"/>
  <c r="L110" i="1"/>
  <c r="M110" i="1" s="1"/>
  <c r="L102" i="1"/>
  <c r="M102" i="1" s="1"/>
  <c r="L94" i="1"/>
  <c r="M94" i="1" s="1"/>
  <c r="L86" i="1"/>
  <c r="M86" i="1" s="1"/>
  <c r="L78" i="1"/>
  <c r="M78" i="1" s="1"/>
  <c r="L70" i="1"/>
  <c r="M70" i="1" s="1"/>
  <c r="L62" i="1"/>
  <c r="M62" i="1" s="1"/>
  <c r="L54" i="1"/>
  <c r="M54" i="1" s="1"/>
  <c r="L46" i="1"/>
  <c r="M46" i="1" s="1"/>
  <c r="L38" i="1"/>
  <c r="M38" i="1" s="1"/>
  <c r="L30" i="1"/>
  <c r="M30" i="1" s="1"/>
  <c r="L22" i="1"/>
  <c r="M22" i="1" s="1"/>
  <c r="L14" i="1"/>
  <c r="M14" i="1" s="1"/>
  <c r="L117" i="1"/>
  <c r="M117" i="1" s="1"/>
  <c r="L109" i="1"/>
  <c r="M109" i="1" s="1"/>
  <c r="L101" i="1"/>
  <c r="M101" i="1" s="1"/>
  <c r="L93" i="1"/>
  <c r="M93" i="1" s="1"/>
  <c r="L85" i="1"/>
  <c r="M85" i="1" s="1"/>
  <c r="L77" i="1"/>
  <c r="M77" i="1" s="1"/>
  <c r="L69" i="1"/>
  <c r="M69" i="1" s="1"/>
  <c r="L61" i="1"/>
  <c r="M61" i="1" s="1"/>
  <c r="L53" i="1"/>
  <c r="M53" i="1" s="1"/>
  <c r="L45" i="1"/>
  <c r="M45" i="1" s="1"/>
  <c r="L37" i="1"/>
  <c r="M37" i="1" s="1"/>
  <c r="L29" i="1"/>
  <c r="M29" i="1" s="1"/>
  <c r="L21" i="1"/>
  <c r="M21" i="1" s="1"/>
</calcChain>
</file>

<file path=xl/sharedStrings.xml><?xml version="1.0" encoding="utf-8"?>
<sst xmlns="http://schemas.openxmlformats.org/spreadsheetml/2006/main" count="690" uniqueCount="25">
  <si>
    <t>Customer_ID</t>
  </si>
  <si>
    <t>Age</t>
  </si>
  <si>
    <t>Gender</t>
  </si>
  <si>
    <t>Visits_Per_Month</t>
  </si>
  <si>
    <t>Avg_Spending_USD</t>
  </si>
  <si>
    <t>Product_Category</t>
  </si>
  <si>
    <t>Satisfaction_Level</t>
  </si>
  <si>
    <t>Food</t>
  </si>
  <si>
    <t>Medium</t>
  </si>
  <si>
    <t>Electronics</t>
  </si>
  <si>
    <t>Clothing</t>
  </si>
  <si>
    <t>High</t>
  </si>
  <si>
    <t>Home</t>
  </si>
  <si>
    <t>Male</t>
  </si>
  <si>
    <t>Female</t>
  </si>
  <si>
    <t>Low</t>
  </si>
  <si>
    <t>Health</t>
  </si>
  <si>
    <t/>
  </si>
  <si>
    <t>Unknown</t>
  </si>
  <si>
    <t>Spending_Tier</t>
  </si>
  <si>
    <t>Visit_Level</t>
  </si>
  <si>
    <t>Spend_Score</t>
  </si>
  <si>
    <t>Visit_Score</t>
  </si>
  <si>
    <t>Behaviour_Score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</si>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</sst>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tabSelected="1" topLeftCell="E1" workbookViewId="0">
      <selection activeCell="N8" sqref="N8"/>
    </sheetView>
  </sheetViews>
  <sheetFormatPr defaultRowHeight="14.5" x14ac:dyDescent="0.35"/>
  <cols>
    <col min="1" max="1" width="11.54296875" customWidth="1"/>
    <col min="4" max="4" width="16.54296875" customWidth="1"/>
    <col min="5" max="5" width="10.90625" customWidth="1"/>
    <col min="6" max="6" width="9.90625" customWidth="1"/>
    <col min="7" max="8" width="16.81640625" customWidth="1"/>
    <col min="9" max="9" width="12.1796875" customWidth="1"/>
    <col min="10" max="10" width="16" customWidth="1"/>
    <col min="11" max="11" width="15.81640625" customWidth="1"/>
    <col min="12" max="12" width="15.453125" customWidth="1"/>
    <col min="13" max="15" width="23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22</v>
      </c>
      <c r="G1" s="1" t="s">
        <v>4</v>
      </c>
      <c r="H1" s="1" t="s">
        <v>19</v>
      </c>
      <c r="I1" s="1" t="s">
        <v>21</v>
      </c>
      <c r="J1" s="1" t="s">
        <v>5</v>
      </c>
      <c r="K1" s="1" t="s">
        <v>6</v>
      </c>
      <c r="L1" s="1" t="s">
        <v>23</v>
      </c>
      <c r="M1" s="1" t="s">
        <v>24</v>
      </c>
    </row>
    <row r="2" spans="1:13" x14ac:dyDescent="0.35">
      <c r="A2">
        <v>1</v>
      </c>
      <c r="B2">
        <v>40</v>
      </c>
      <c r="C2" t="s">
        <v>18</v>
      </c>
      <c r="D2">
        <v>14</v>
      </c>
      <c r="E2" t="str">
        <f>IF(D2=0,"Inactive",IF(D2&lt;=2,"Low",IF(D2&lt;=5,"Moderate","Frequent")))</f>
        <v>Frequent</v>
      </c>
      <c r="F2">
        <f>IF(E2="Inactive",0,IF(E2="Frequent",2,IF(E2="Moderate",1,0)))</f>
        <v>2</v>
      </c>
      <c r="G2">
        <v>379</v>
      </c>
      <c r="H2" t="str">
        <f>IF(G2&lt;=100,"Low Spender",IF(G2&lt;=300,"Medium Spender","High Spender"))</f>
        <v>High Spender</v>
      </c>
      <c r="I2">
        <f>IF(H2="High Spender",4,IF(H2="Medium Spender",2,1))</f>
        <v>4</v>
      </c>
      <c r="J2" t="s">
        <v>7</v>
      </c>
      <c r="K2" t="s">
        <v>8</v>
      </c>
      <c r="L2">
        <f>F2+I2</f>
        <v>6</v>
      </c>
      <c r="M2" t="str">
        <f>IF(L2&lt;=2,"Low",IF(L2&lt;=4,"Medium","High Value"))</f>
        <v>High Value</v>
      </c>
    </row>
    <row r="3" spans="1:13" x14ac:dyDescent="0.35">
      <c r="A3">
        <v>2</v>
      </c>
      <c r="B3">
        <v>43</v>
      </c>
      <c r="C3" t="s">
        <v>14</v>
      </c>
      <c r="D3">
        <v>20</v>
      </c>
      <c r="E3" t="str">
        <f t="shared" ref="E3:E66" si="0">IF(D3=0,"Inactive",IF(D3&lt;=2,"Low",IF(D3&lt;=5,"Moderate","Frequent")))</f>
        <v>Frequent</v>
      </c>
      <c r="F3">
        <f t="shared" ref="F3:F66" si="1">IF(E3="Inactive",0,IF(E3="Frequent",2,IF(E3="Moderate",1,0)))</f>
        <v>2</v>
      </c>
      <c r="G3">
        <v>12</v>
      </c>
      <c r="H3" t="str">
        <f t="shared" ref="H3:H66" si="2">IF(G3&lt;=100,"Low Spender",IF(G3&lt;=300,"Medium Spender","High Spender"))</f>
        <v>Low Spender</v>
      </c>
      <c r="I3">
        <f t="shared" ref="I3:I66" si="3">IF(H3="High Spender",4,IF(H3="Medium Spender",2,1))</f>
        <v>1</v>
      </c>
      <c r="J3" t="s">
        <v>9</v>
      </c>
      <c r="K3" t="s">
        <v>18</v>
      </c>
      <c r="L3">
        <f t="shared" ref="L3:L66" si="4">F3+I3</f>
        <v>3</v>
      </c>
      <c r="M3" t="str">
        <f t="shared" ref="M3:M66" si="5">IF(L3&lt;=2,"Low",IF(L3&lt;=4,"Medium","High Value"))</f>
        <v>Medium</v>
      </c>
    </row>
    <row r="4" spans="1:13" x14ac:dyDescent="0.35">
      <c r="A4">
        <v>3</v>
      </c>
      <c r="B4">
        <v>38</v>
      </c>
      <c r="C4" t="s">
        <v>18</v>
      </c>
      <c r="D4">
        <v>6</v>
      </c>
      <c r="E4" t="str">
        <f t="shared" si="0"/>
        <v>Frequent</v>
      </c>
      <c r="F4">
        <f t="shared" si="1"/>
        <v>2</v>
      </c>
      <c r="G4">
        <v>345</v>
      </c>
      <c r="H4" t="str">
        <f t="shared" si="2"/>
        <v>High Spender</v>
      </c>
      <c r="I4">
        <f t="shared" si="3"/>
        <v>4</v>
      </c>
      <c r="J4" t="s">
        <v>10</v>
      </c>
      <c r="K4" t="s">
        <v>11</v>
      </c>
      <c r="L4">
        <f t="shared" si="4"/>
        <v>6</v>
      </c>
      <c r="M4" t="str">
        <f t="shared" si="5"/>
        <v>High Value</v>
      </c>
    </row>
    <row r="5" spans="1:13" x14ac:dyDescent="0.35">
      <c r="A5">
        <v>4</v>
      </c>
      <c r="B5">
        <v>39</v>
      </c>
      <c r="C5" t="s">
        <v>14</v>
      </c>
      <c r="D5">
        <v>10</v>
      </c>
      <c r="E5" t="str">
        <f t="shared" si="0"/>
        <v>Frequent</v>
      </c>
      <c r="F5">
        <f t="shared" si="1"/>
        <v>2</v>
      </c>
      <c r="G5">
        <v>133</v>
      </c>
      <c r="H5" t="str">
        <f t="shared" si="2"/>
        <v>Medium Spender</v>
      </c>
      <c r="I5">
        <f t="shared" si="3"/>
        <v>2</v>
      </c>
      <c r="J5" t="s">
        <v>18</v>
      </c>
      <c r="K5" t="s">
        <v>11</v>
      </c>
      <c r="L5">
        <f t="shared" si="4"/>
        <v>4</v>
      </c>
      <c r="M5" t="str">
        <f t="shared" si="5"/>
        <v>Medium</v>
      </c>
    </row>
    <row r="6" spans="1:13" x14ac:dyDescent="0.35">
      <c r="A6">
        <v>5</v>
      </c>
      <c r="B6" t="s">
        <v>17</v>
      </c>
      <c r="C6" t="s">
        <v>18</v>
      </c>
      <c r="D6">
        <v>19</v>
      </c>
      <c r="E6" t="str">
        <f t="shared" si="0"/>
        <v>Frequent</v>
      </c>
      <c r="F6">
        <f t="shared" si="1"/>
        <v>2</v>
      </c>
      <c r="G6">
        <v>780</v>
      </c>
      <c r="H6" t="str">
        <f t="shared" si="2"/>
        <v>High Spender</v>
      </c>
      <c r="I6">
        <f t="shared" si="3"/>
        <v>4</v>
      </c>
      <c r="J6" t="s">
        <v>12</v>
      </c>
      <c r="K6" t="s">
        <v>18</v>
      </c>
      <c r="L6">
        <f t="shared" si="4"/>
        <v>6</v>
      </c>
      <c r="M6" t="str">
        <f t="shared" si="5"/>
        <v>High Value</v>
      </c>
    </row>
    <row r="7" spans="1:13" x14ac:dyDescent="0.35">
      <c r="A7">
        <v>6</v>
      </c>
      <c r="B7">
        <v>24</v>
      </c>
      <c r="C7" t="s">
        <v>18</v>
      </c>
      <c r="D7">
        <v>15</v>
      </c>
      <c r="E7" t="str">
        <f t="shared" si="0"/>
        <v>Frequent</v>
      </c>
      <c r="F7">
        <f t="shared" si="1"/>
        <v>2</v>
      </c>
      <c r="G7">
        <v>673</v>
      </c>
      <c r="H7" t="str">
        <f t="shared" si="2"/>
        <v>High Spender</v>
      </c>
      <c r="I7">
        <f t="shared" si="3"/>
        <v>4</v>
      </c>
      <c r="J7" t="s">
        <v>9</v>
      </c>
      <c r="K7" t="s">
        <v>11</v>
      </c>
      <c r="L7">
        <f t="shared" si="4"/>
        <v>6</v>
      </c>
      <c r="M7" t="str">
        <f t="shared" si="5"/>
        <v>High Value</v>
      </c>
    </row>
    <row r="8" spans="1:13" x14ac:dyDescent="0.35">
      <c r="A8">
        <v>7</v>
      </c>
      <c r="B8">
        <v>31</v>
      </c>
      <c r="C8" t="s">
        <v>13</v>
      </c>
      <c r="D8">
        <v>3</v>
      </c>
      <c r="E8" t="str">
        <f t="shared" si="0"/>
        <v>Moderate</v>
      </c>
      <c r="F8">
        <f t="shared" si="1"/>
        <v>1</v>
      </c>
      <c r="G8">
        <v>356</v>
      </c>
      <c r="H8" t="str">
        <f t="shared" si="2"/>
        <v>High Spender</v>
      </c>
      <c r="I8">
        <f t="shared" si="3"/>
        <v>4</v>
      </c>
      <c r="J8" t="s">
        <v>10</v>
      </c>
      <c r="K8" t="s">
        <v>8</v>
      </c>
      <c r="L8">
        <f t="shared" si="4"/>
        <v>5</v>
      </c>
      <c r="M8" t="str">
        <f t="shared" si="5"/>
        <v>High Value</v>
      </c>
    </row>
    <row r="9" spans="1:13" x14ac:dyDescent="0.35">
      <c r="A9">
        <v>8</v>
      </c>
      <c r="B9">
        <v>32</v>
      </c>
      <c r="C9" t="s">
        <v>14</v>
      </c>
      <c r="D9">
        <v>5</v>
      </c>
      <c r="E9" t="str">
        <f t="shared" si="0"/>
        <v>Moderate</v>
      </c>
      <c r="F9">
        <f t="shared" si="1"/>
        <v>1</v>
      </c>
      <c r="G9">
        <v>362</v>
      </c>
      <c r="H9" t="str">
        <f t="shared" si="2"/>
        <v>High Spender</v>
      </c>
      <c r="I9">
        <f t="shared" si="3"/>
        <v>4</v>
      </c>
      <c r="J9" t="s">
        <v>9</v>
      </c>
      <c r="K9" t="s">
        <v>8</v>
      </c>
      <c r="L9">
        <f t="shared" si="4"/>
        <v>5</v>
      </c>
      <c r="M9" t="str">
        <f t="shared" si="5"/>
        <v>High Value</v>
      </c>
    </row>
    <row r="10" spans="1:13" x14ac:dyDescent="0.35">
      <c r="A10">
        <v>9</v>
      </c>
      <c r="B10">
        <v>70</v>
      </c>
      <c r="C10" t="s">
        <v>18</v>
      </c>
      <c r="D10">
        <v>0</v>
      </c>
      <c r="E10" t="str">
        <f t="shared" si="0"/>
        <v>Inactive</v>
      </c>
      <c r="F10">
        <f t="shared" si="1"/>
        <v>0</v>
      </c>
      <c r="G10">
        <v>521</v>
      </c>
      <c r="H10" t="str">
        <f t="shared" si="2"/>
        <v>High Spender</v>
      </c>
      <c r="I10">
        <f t="shared" si="3"/>
        <v>4</v>
      </c>
      <c r="J10" t="s">
        <v>18</v>
      </c>
      <c r="K10" t="s">
        <v>15</v>
      </c>
      <c r="L10">
        <f t="shared" si="4"/>
        <v>4</v>
      </c>
      <c r="M10" t="str">
        <f t="shared" si="5"/>
        <v>Medium</v>
      </c>
    </row>
    <row r="11" spans="1:13" x14ac:dyDescent="0.35">
      <c r="A11">
        <v>10</v>
      </c>
      <c r="B11">
        <v>24</v>
      </c>
      <c r="C11" t="s">
        <v>18</v>
      </c>
      <c r="D11">
        <v>21</v>
      </c>
      <c r="E11" t="str">
        <f t="shared" si="0"/>
        <v>Frequent</v>
      </c>
      <c r="F11">
        <f t="shared" si="1"/>
        <v>2</v>
      </c>
      <c r="G11">
        <v>499</v>
      </c>
      <c r="H11" t="str">
        <f t="shared" si="2"/>
        <v>High Spender</v>
      </c>
      <c r="I11">
        <f t="shared" si="3"/>
        <v>4</v>
      </c>
      <c r="J11" t="s">
        <v>12</v>
      </c>
      <c r="K11" t="s">
        <v>8</v>
      </c>
      <c r="L11">
        <f t="shared" si="4"/>
        <v>6</v>
      </c>
      <c r="M11" t="str">
        <f t="shared" si="5"/>
        <v>High Value</v>
      </c>
    </row>
    <row r="12" spans="1:13" x14ac:dyDescent="0.35">
      <c r="A12">
        <v>11</v>
      </c>
      <c r="B12">
        <v>26</v>
      </c>
      <c r="C12" t="s">
        <v>13</v>
      </c>
      <c r="D12">
        <v>0</v>
      </c>
      <c r="E12" t="str">
        <f t="shared" si="0"/>
        <v>Inactive</v>
      </c>
      <c r="F12">
        <f t="shared" si="1"/>
        <v>0</v>
      </c>
      <c r="G12">
        <v>90</v>
      </c>
      <c r="H12" t="str">
        <f t="shared" si="2"/>
        <v>Low Spender</v>
      </c>
      <c r="I12">
        <f t="shared" si="3"/>
        <v>1</v>
      </c>
      <c r="J12" t="s">
        <v>18</v>
      </c>
      <c r="K12" t="s">
        <v>11</v>
      </c>
      <c r="L12">
        <f t="shared" si="4"/>
        <v>1</v>
      </c>
      <c r="M12" t="str">
        <f t="shared" si="5"/>
        <v>Low</v>
      </c>
    </row>
    <row r="13" spans="1:13" x14ac:dyDescent="0.35">
      <c r="A13">
        <v>12</v>
      </c>
      <c r="B13">
        <v>68</v>
      </c>
      <c r="C13" t="s">
        <v>14</v>
      </c>
      <c r="D13">
        <v>2</v>
      </c>
      <c r="E13" t="str">
        <f t="shared" si="0"/>
        <v>Low</v>
      </c>
      <c r="F13">
        <f t="shared" si="1"/>
        <v>0</v>
      </c>
      <c r="G13">
        <v>179</v>
      </c>
      <c r="H13" t="str">
        <f t="shared" si="2"/>
        <v>Medium Spender</v>
      </c>
      <c r="I13">
        <f t="shared" si="3"/>
        <v>2</v>
      </c>
      <c r="J13" t="s">
        <v>7</v>
      </c>
      <c r="K13" t="s">
        <v>8</v>
      </c>
      <c r="L13">
        <f t="shared" si="4"/>
        <v>2</v>
      </c>
      <c r="M13" t="str">
        <f t="shared" si="5"/>
        <v>Low</v>
      </c>
    </row>
    <row r="14" spans="1:13" x14ac:dyDescent="0.35">
      <c r="A14">
        <v>13</v>
      </c>
      <c r="B14">
        <v>65</v>
      </c>
      <c r="C14" t="s">
        <v>13</v>
      </c>
      <c r="D14">
        <v>8</v>
      </c>
      <c r="E14" t="str">
        <f t="shared" si="0"/>
        <v>Frequent</v>
      </c>
      <c r="F14">
        <f t="shared" si="1"/>
        <v>2</v>
      </c>
      <c r="G14">
        <v>197</v>
      </c>
      <c r="H14" t="str">
        <f t="shared" si="2"/>
        <v>Medium Spender</v>
      </c>
      <c r="I14">
        <f t="shared" si="3"/>
        <v>2</v>
      </c>
      <c r="J14" t="s">
        <v>7</v>
      </c>
      <c r="K14" t="s">
        <v>18</v>
      </c>
      <c r="L14">
        <f t="shared" si="4"/>
        <v>4</v>
      </c>
      <c r="M14" t="str">
        <f t="shared" si="5"/>
        <v>Medium</v>
      </c>
    </row>
    <row r="15" spans="1:13" x14ac:dyDescent="0.35">
      <c r="A15">
        <v>14</v>
      </c>
      <c r="B15">
        <v>25</v>
      </c>
      <c r="C15" t="s">
        <v>14</v>
      </c>
      <c r="D15">
        <v>9</v>
      </c>
      <c r="E15" t="str">
        <f t="shared" si="0"/>
        <v>Frequent</v>
      </c>
      <c r="F15">
        <f t="shared" si="1"/>
        <v>2</v>
      </c>
      <c r="G15">
        <v>315</v>
      </c>
      <c r="H15" t="str">
        <f t="shared" si="2"/>
        <v>High Spender</v>
      </c>
      <c r="I15">
        <f t="shared" si="3"/>
        <v>4</v>
      </c>
      <c r="J15" t="s">
        <v>10</v>
      </c>
      <c r="K15" t="s">
        <v>15</v>
      </c>
      <c r="L15">
        <f t="shared" si="4"/>
        <v>6</v>
      </c>
      <c r="M15" t="str">
        <f t="shared" si="5"/>
        <v>High Value</v>
      </c>
    </row>
    <row r="16" spans="1:13" x14ac:dyDescent="0.35">
      <c r="A16">
        <v>15</v>
      </c>
      <c r="B16">
        <v>67</v>
      </c>
      <c r="C16" t="s">
        <v>13</v>
      </c>
      <c r="D16">
        <v>13</v>
      </c>
      <c r="E16" t="str">
        <f t="shared" si="0"/>
        <v>Frequent</v>
      </c>
      <c r="F16">
        <f t="shared" si="1"/>
        <v>2</v>
      </c>
      <c r="G16">
        <v>123</v>
      </c>
      <c r="H16" t="str">
        <f t="shared" si="2"/>
        <v>Medium Spender</v>
      </c>
      <c r="I16">
        <f t="shared" si="3"/>
        <v>2</v>
      </c>
      <c r="J16" t="s">
        <v>18</v>
      </c>
      <c r="K16" t="s">
        <v>11</v>
      </c>
      <c r="L16">
        <f t="shared" si="4"/>
        <v>4</v>
      </c>
      <c r="M16" t="str">
        <f t="shared" si="5"/>
        <v>Medium</v>
      </c>
    </row>
    <row r="17" spans="1:13" x14ac:dyDescent="0.35">
      <c r="A17">
        <v>16</v>
      </c>
      <c r="B17" t="s">
        <v>17</v>
      </c>
      <c r="C17" t="s">
        <v>18</v>
      </c>
      <c r="D17">
        <v>10</v>
      </c>
      <c r="E17" t="str">
        <f t="shared" si="0"/>
        <v>Frequent</v>
      </c>
      <c r="F17">
        <f t="shared" si="1"/>
        <v>2</v>
      </c>
      <c r="G17">
        <v>222</v>
      </c>
      <c r="H17" t="str">
        <f t="shared" si="2"/>
        <v>Medium Spender</v>
      </c>
      <c r="I17">
        <f t="shared" si="3"/>
        <v>2</v>
      </c>
      <c r="J17" t="s">
        <v>16</v>
      </c>
      <c r="K17" t="s">
        <v>15</v>
      </c>
      <c r="L17">
        <f t="shared" si="4"/>
        <v>4</v>
      </c>
      <c r="M17" t="str">
        <f t="shared" si="5"/>
        <v>Medium</v>
      </c>
    </row>
    <row r="18" spans="1:13" x14ac:dyDescent="0.35">
      <c r="A18">
        <v>17</v>
      </c>
      <c r="B18">
        <v>40</v>
      </c>
      <c r="C18" t="s">
        <v>18</v>
      </c>
      <c r="D18">
        <v>17</v>
      </c>
      <c r="E18" t="str">
        <f t="shared" si="0"/>
        <v>Frequent</v>
      </c>
      <c r="F18">
        <f t="shared" si="1"/>
        <v>2</v>
      </c>
      <c r="G18">
        <v>431</v>
      </c>
      <c r="H18" t="str">
        <f t="shared" si="2"/>
        <v>High Spender</v>
      </c>
      <c r="I18">
        <f t="shared" si="3"/>
        <v>4</v>
      </c>
      <c r="J18" t="s">
        <v>18</v>
      </c>
      <c r="K18" t="s">
        <v>11</v>
      </c>
      <c r="L18">
        <f t="shared" si="4"/>
        <v>6</v>
      </c>
      <c r="M18" t="str">
        <f t="shared" si="5"/>
        <v>High Value</v>
      </c>
    </row>
    <row r="19" spans="1:13" x14ac:dyDescent="0.35">
      <c r="A19">
        <v>18</v>
      </c>
      <c r="B19">
        <v>46</v>
      </c>
      <c r="C19" t="s">
        <v>13</v>
      </c>
      <c r="D19">
        <v>21</v>
      </c>
      <c r="E19" t="str">
        <f t="shared" si="0"/>
        <v>Frequent</v>
      </c>
      <c r="F19">
        <f t="shared" si="1"/>
        <v>2</v>
      </c>
      <c r="G19">
        <v>418</v>
      </c>
      <c r="H19" t="str">
        <f t="shared" si="2"/>
        <v>High Spender</v>
      </c>
      <c r="I19">
        <f t="shared" si="3"/>
        <v>4</v>
      </c>
      <c r="J19" t="s">
        <v>10</v>
      </c>
      <c r="K19" t="s">
        <v>18</v>
      </c>
      <c r="L19">
        <f t="shared" si="4"/>
        <v>6</v>
      </c>
      <c r="M19" t="str">
        <f t="shared" si="5"/>
        <v>High Value</v>
      </c>
    </row>
    <row r="20" spans="1:13" x14ac:dyDescent="0.35">
      <c r="A20">
        <v>19</v>
      </c>
      <c r="B20">
        <v>35</v>
      </c>
      <c r="C20" t="s">
        <v>13</v>
      </c>
      <c r="D20">
        <v>11</v>
      </c>
      <c r="E20" t="str">
        <f t="shared" si="0"/>
        <v>Frequent</v>
      </c>
      <c r="F20">
        <f t="shared" si="1"/>
        <v>2</v>
      </c>
      <c r="G20">
        <v>118</v>
      </c>
      <c r="H20" t="str">
        <f t="shared" si="2"/>
        <v>Medium Spender</v>
      </c>
      <c r="I20">
        <f t="shared" si="3"/>
        <v>2</v>
      </c>
      <c r="J20" t="s">
        <v>16</v>
      </c>
      <c r="K20" t="s">
        <v>15</v>
      </c>
      <c r="L20">
        <f t="shared" si="4"/>
        <v>4</v>
      </c>
      <c r="M20" t="str">
        <f t="shared" si="5"/>
        <v>Medium</v>
      </c>
    </row>
    <row r="21" spans="1:13" x14ac:dyDescent="0.35">
      <c r="A21">
        <v>20</v>
      </c>
      <c r="B21">
        <v>48</v>
      </c>
      <c r="C21" t="s">
        <v>14</v>
      </c>
      <c r="D21">
        <v>22</v>
      </c>
      <c r="E21" t="str">
        <f t="shared" si="0"/>
        <v>Frequent</v>
      </c>
      <c r="F21">
        <f t="shared" si="1"/>
        <v>2</v>
      </c>
      <c r="G21">
        <v>149</v>
      </c>
      <c r="H21" t="str">
        <f t="shared" si="2"/>
        <v>Medium Spender</v>
      </c>
      <c r="I21">
        <f t="shared" si="3"/>
        <v>2</v>
      </c>
      <c r="J21" t="s">
        <v>9</v>
      </c>
      <c r="K21" t="s">
        <v>18</v>
      </c>
      <c r="L21">
        <f t="shared" si="4"/>
        <v>4</v>
      </c>
      <c r="M21" t="str">
        <f t="shared" si="5"/>
        <v>Medium</v>
      </c>
    </row>
    <row r="22" spans="1:13" x14ac:dyDescent="0.35">
      <c r="A22">
        <v>21</v>
      </c>
      <c r="B22">
        <v>47</v>
      </c>
      <c r="C22" t="s">
        <v>13</v>
      </c>
      <c r="D22">
        <v>11</v>
      </c>
      <c r="E22" t="str">
        <f t="shared" si="0"/>
        <v>Frequent</v>
      </c>
      <c r="F22">
        <f t="shared" si="1"/>
        <v>2</v>
      </c>
      <c r="G22">
        <v>542</v>
      </c>
      <c r="H22" t="str">
        <f t="shared" si="2"/>
        <v>High Spender</v>
      </c>
      <c r="I22">
        <f t="shared" si="3"/>
        <v>4</v>
      </c>
      <c r="J22" t="s">
        <v>18</v>
      </c>
      <c r="K22" t="s">
        <v>11</v>
      </c>
      <c r="L22">
        <f t="shared" si="4"/>
        <v>6</v>
      </c>
      <c r="M22" t="str">
        <f t="shared" si="5"/>
        <v>High Value</v>
      </c>
    </row>
    <row r="23" spans="1:13" x14ac:dyDescent="0.35">
      <c r="A23">
        <v>22</v>
      </c>
      <c r="B23">
        <v>69</v>
      </c>
      <c r="C23" t="s">
        <v>13</v>
      </c>
      <c r="D23">
        <v>12</v>
      </c>
      <c r="E23" t="str">
        <f t="shared" si="0"/>
        <v>Frequent</v>
      </c>
      <c r="F23">
        <f t="shared" si="1"/>
        <v>2</v>
      </c>
      <c r="G23">
        <v>652</v>
      </c>
      <c r="H23" t="str">
        <f t="shared" si="2"/>
        <v>High Spender</v>
      </c>
      <c r="I23">
        <f t="shared" si="3"/>
        <v>4</v>
      </c>
      <c r="J23" t="s">
        <v>9</v>
      </c>
      <c r="K23" t="s">
        <v>18</v>
      </c>
      <c r="L23">
        <f t="shared" si="4"/>
        <v>6</v>
      </c>
      <c r="M23" t="str">
        <f t="shared" si="5"/>
        <v>High Value</v>
      </c>
    </row>
    <row r="24" spans="1:13" x14ac:dyDescent="0.35">
      <c r="A24">
        <v>23</v>
      </c>
      <c r="B24">
        <v>56</v>
      </c>
      <c r="C24" t="s">
        <v>13</v>
      </c>
      <c r="D24">
        <v>24</v>
      </c>
      <c r="E24" t="str">
        <f t="shared" si="0"/>
        <v>Frequent</v>
      </c>
      <c r="F24">
        <f t="shared" si="1"/>
        <v>2</v>
      </c>
      <c r="G24">
        <v>307</v>
      </c>
      <c r="H24" t="str">
        <f t="shared" si="2"/>
        <v>High Spender</v>
      </c>
      <c r="I24">
        <f t="shared" si="3"/>
        <v>4</v>
      </c>
      <c r="J24" t="s">
        <v>18</v>
      </c>
      <c r="K24" t="s">
        <v>15</v>
      </c>
      <c r="L24">
        <f t="shared" si="4"/>
        <v>6</v>
      </c>
      <c r="M24" t="str">
        <f t="shared" si="5"/>
        <v>High Value</v>
      </c>
    </row>
    <row r="25" spans="1:13" x14ac:dyDescent="0.35">
      <c r="A25">
        <v>24</v>
      </c>
      <c r="B25">
        <v>52</v>
      </c>
      <c r="C25" t="s">
        <v>13</v>
      </c>
      <c r="D25">
        <v>12</v>
      </c>
      <c r="E25" t="str">
        <f t="shared" si="0"/>
        <v>Frequent</v>
      </c>
      <c r="F25">
        <f t="shared" si="1"/>
        <v>2</v>
      </c>
      <c r="G25">
        <v>748</v>
      </c>
      <c r="H25" t="str">
        <f t="shared" si="2"/>
        <v>High Spender</v>
      </c>
      <c r="I25">
        <f t="shared" si="3"/>
        <v>4</v>
      </c>
      <c r="J25" t="s">
        <v>12</v>
      </c>
      <c r="K25" t="s">
        <v>18</v>
      </c>
      <c r="L25">
        <f t="shared" si="4"/>
        <v>6</v>
      </c>
      <c r="M25" t="str">
        <f t="shared" si="5"/>
        <v>High Value</v>
      </c>
    </row>
    <row r="26" spans="1:13" x14ac:dyDescent="0.35">
      <c r="A26">
        <v>25</v>
      </c>
      <c r="B26">
        <v>35</v>
      </c>
      <c r="C26" t="s">
        <v>18</v>
      </c>
      <c r="D26">
        <v>18</v>
      </c>
      <c r="E26" t="str">
        <f t="shared" si="0"/>
        <v>Frequent</v>
      </c>
      <c r="F26">
        <f t="shared" si="1"/>
        <v>2</v>
      </c>
      <c r="G26">
        <v>592</v>
      </c>
      <c r="H26" t="str">
        <f t="shared" si="2"/>
        <v>High Spender</v>
      </c>
      <c r="I26">
        <f t="shared" si="3"/>
        <v>4</v>
      </c>
      <c r="J26" t="s">
        <v>18</v>
      </c>
      <c r="K26" t="s">
        <v>18</v>
      </c>
      <c r="L26">
        <f t="shared" si="4"/>
        <v>6</v>
      </c>
      <c r="M26" t="str">
        <f t="shared" si="5"/>
        <v>High Value</v>
      </c>
    </row>
    <row r="27" spans="1:13" x14ac:dyDescent="0.35">
      <c r="A27">
        <v>26</v>
      </c>
      <c r="B27" t="s">
        <v>17</v>
      </c>
      <c r="C27" t="s">
        <v>13</v>
      </c>
      <c r="D27">
        <v>0</v>
      </c>
      <c r="E27" t="str">
        <f t="shared" si="0"/>
        <v>Inactive</v>
      </c>
      <c r="F27">
        <f t="shared" si="1"/>
        <v>0</v>
      </c>
      <c r="G27">
        <v>349</v>
      </c>
      <c r="H27" t="str">
        <f t="shared" si="2"/>
        <v>High Spender</v>
      </c>
      <c r="I27">
        <f t="shared" si="3"/>
        <v>4</v>
      </c>
      <c r="J27" t="s">
        <v>16</v>
      </c>
      <c r="K27" t="s">
        <v>15</v>
      </c>
      <c r="L27">
        <f t="shared" si="4"/>
        <v>4</v>
      </c>
      <c r="M27" t="str">
        <f t="shared" si="5"/>
        <v>Medium</v>
      </c>
    </row>
    <row r="28" spans="1:13" x14ac:dyDescent="0.35">
      <c r="A28">
        <v>27</v>
      </c>
      <c r="B28">
        <v>59</v>
      </c>
      <c r="C28" t="s">
        <v>18</v>
      </c>
      <c r="D28">
        <v>18</v>
      </c>
      <c r="E28" t="str">
        <f t="shared" si="0"/>
        <v>Frequent</v>
      </c>
      <c r="F28">
        <f t="shared" si="1"/>
        <v>2</v>
      </c>
      <c r="G28">
        <v>5</v>
      </c>
      <c r="H28" t="str">
        <f t="shared" si="2"/>
        <v>Low Spender</v>
      </c>
      <c r="I28">
        <f t="shared" si="3"/>
        <v>1</v>
      </c>
      <c r="J28" t="s">
        <v>12</v>
      </c>
      <c r="K28" t="s">
        <v>18</v>
      </c>
      <c r="L28">
        <f t="shared" si="4"/>
        <v>3</v>
      </c>
      <c r="M28" t="str">
        <f t="shared" si="5"/>
        <v>Medium</v>
      </c>
    </row>
    <row r="29" spans="1:13" x14ac:dyDescent="0.35">
      <c r="A29">
        <v>28</v>
      </c>
      <c r="B29">
        <v>56</v>
      </c>
      <c r="C29" t="s">
        <v>13</v>
      </c>
      <c r="D29">
        <v>22</v>
      </c>
      <c r="E29" t="str">
        <f t="shared" si="0"/>
        <v>Frequent</v>
      </c>
      <c r="F29">
        <f t="shared" si="1"/>
        <v>2</v>
      </c>
      <c r="G29">
        <v>151</v>
      </c>
      <c r="H29" t="str">
        <f t="shared" si="2"/>
        <v>Medium Spender</v>
      </c>
      <c r="I29">
        <f t="shared" si="3"/>
        <v>2</v>
      </c>
      <c r="J29" t="s">
        <v>7</v>
      </c>
      <c r="K29" t="s">
        <v>18</v>
      </c>
      <c r="L29">
        <f t="shared" si="4"/>
        <v>4</v>
      </c>
      <c r="M29" t="str">
        <f t="shared" si="5"/>
        <v>Medium</v>
      </c>
    </row>
    <row r="30" spans="1:13" x14ac:dyDescent="0.35">
      <c r="A30">
        <v>29</v>
      </c>
      <c r="B30">
        <v>34</v>
      </c>
      <c r="C30" t="s">
        <v>18</v>
      </c>
      <c r="D30">
        <v>13</v>
      </c>
      <c r="E30" t="str">
        <f t="shared" si="0"/>
        <v>Frequent</v>
      </c>
      <c r="F30">
        <f t="shared" si="1"/>
        <v>2</v>
      </c>
      <c r="G30">
        <v>291</v>
      </c>
      <c r="H30" t="str">
        <f t="shared" si="2"/>
        <v>Medium Spender</v>
      </c>
      <c r="I30">
        <f t="shared" si="3"/>
        <v>2</v>
      </c>
      <c r="J30" t="s">
        <v>16</v>
      </c>
      <c r="K30" t="s">
        <v>18</v>
      </c>
      <c r="L30">
        <f t="shared" si="4"/>
        <v>4</v>
      </c>
      <c r="M30" t="str">
        <f t="shared" si="5"/>
        <v>Medium</v>
      </c>
    </row>
    <row r="31" spans="1:13" x14ac:dyDescent="0.35">
      <c r="A31">
        <v>30</v>
      </c>
      <c r="B31">
        <v>31</v>
      </c>
      <c r="C31" t="s">
        <v>14</v>
      </c>
      <c r="D31">
        <v>3</v>
      </c>
      <c r="E31" t="str">
        <f t="shared" si="0"/>
        <v>Moderate</v>
      </c>
      <c r="F31">
        <f t="shared" si="1"/>
        <v>1</v>
      </c>
      <c r="G31">
        <v>658</v>
      </c>
      <c r="H31" t="str">
        <f t="shared" si="2"/>
        <v>High Spender</v>
      </c>
      <c r="I31">
        <f t="shared" si="3"/>
        <v>4</v>
      </c>
      <c r="J31" t="s">
        <v>10</v>
      </c>
      <c r="K31" t="s">
        <v>18</v>
      </c>
      <c r="L31">
        <f t="shared" si="4"/>
        <v>5</v>
      </c>
      <c r="M31" t="str">
        <f t="shared" si="5"/>
        <v>High Value</v>
      </c>
    </row>
    <row r="32" spans="1:13" x14ac:dyDescent="0.35">
      <c r="A32">
        <v>31</v>
      </c>
      <c r="B32">
        <v>48</v>
      </c>
      <c r="C32" t="s">
        <v>14</v>
      </c>
      <c r="D32">
        <v>12</v>
      </c>
      <c r="E32" t="str">
        <f t="shared" si="0"/>
        <v>Frequent</v>
      </c>
      <c r="F32">
        <f t="shared" si="1"/>
        <v>2</v>
      </c>
      <c r="G32">
        <v>57</v>
      </c>
      <c r="H32" t="str">
        <f t="shared" si="2"/>
        <v>Low Spender</v>
      </c>
      <c r="I32">
        <f t="shared" si="3"/>
        <v>1</v>
      </c>
      <c r="J32" t="s">
        <v>7</v>
      </c>
      <c r="K32" t="s">
        <v>18</v>
      </c>
      <c r="L32">
        <f t="shared" si="4"/>
        <v>3</v>
      </c>
      <c r="M32" t="str">
        <f t="shared" si="5"/>
        <v>Medium</v>
      </c>
    </row>
    <row r="33" spans="1:13" x14ac:dyDescent="0.35">
      <c r="A33">
        <v>32</v>
      </c>
      <c r="B33">
        <v>41</v>
      </c>
      <c r="C33" t="s">
        <v>13</v>
      </c>
      <c r="D33">
        <v>7</v>
      </c>
      <c r="E33" t="str">
        <f t="shared" si="0"/>
        <v>Frequent</v>
      </c>
      <c r="F33">
        <f t="shared" si="1"/>
        <v>2</v>
      </c>
      <c r="G33">
        <v>308</v>
      </c>
      <c r="H33" t="str">
        <f t="shared" si="2"/>
        <v>High Spender</v>
      </c>
      <c r="I33">
        <f t="shared" si="3"/>
        <v>4</v>
      </c>
      <c r="J33" t="s">
        <v>7</v>
      </c>
      <c r="K33" t="s">
        <v>18</v>
      </c>
      <c r="L33">
        <f t="shared" si="4"/>
        <v>6</v>
      </c>
      <c r="M33" t="str">
        <f t="shared" si="5"/>
        <v>High Value</v>
      </c>
    </row>
    <row r="34" spans="1:13" x14ac:dyDescent="0.35">
      <c r="A34">
        <v>33</v>
      </c>
      <c r="B34">
        <v>52</v>
      </c>
      <c r="C34" t="s">
        <v>14</v>
      </c>
      <c r="D34">
        <v>22</v>
      </c>
      <c r="E34" t="str">
        <f t="shared" si="0"/>
        <v>Frequent</v>
      </c>
      <c r="F34">
        <f t="shared" si="1"/>
        <v>2</v>
      </c>
      <c r="G34">
        <v>73</v>
      </c>
      <c r="H34" t="str">
        <f t="shared" si="2"/>
        <v>Low Spender</v>
      </c>
      <c r="I34">
        <f t="shared" si="3"/>
        <v>1</v>
      </c>
      <c r="J34" t="s">
        <v>10</v>
      </c>
      <c r="K34" t="s">
        <v>18</v>
      </c>
      <c r="L34">
        <f t="shared" si="4"/>
        <v>3</v>
      </c>
      <c r="M34" t="str">
        <f t="shared" si="5"/>
        <v>Medium</v>
      </c>
    </row>
    <row r="35" spans="1:13" x14ac:dyDescent="0.35">
      <c r="A35">
        <v>34</v>
      </c>
      <c r="B35">
        <v>61</v>
      </c>
      <c r="C35" t="s">
        <v>18</v>
      </c>
      <c r="D35">
        <v>20</v>
      </c>
      <c r="E35" t="str">
        <f t="shared" si="0"/>
        <v>Frequent</v>
      </c>
      <c r="F35">
        <f t="shared" si="1"/>
        <v>2</v>
      </c>
      <c r="G35">
        <v>365</v>
      </c>
      <c r="H35" t="str">
        <f t="shared" si="2"/>
        <v>High Spender</v>
      </c>
      <c r="I35">
        <f t="shared" si="3"/>
        <v>4</v>
      </c>
      <c r="J35" t="s">
        <v>18</v>
      </c>
      <c r="K35" t="s">
        <v>8</v>
      </c>
      <c r="L35">
        <f t="shared" si="4"/>
        <v>6</v>
      </c>
      <c r="M35" t="str">
        <f t="shared" si="5"/>
        <v>High Value</v>
      </c>
    </row>
    <row r="36" spans="1:13" x14ac:dyDescent="0.35">
      <c r="A36">
        <v>35</v>
      </c>
      <c r="B36" t="s">
        <v>17</v>
      </c>
      <c r="C36" t="s">
        <v>13</v>
      </c>
      <c r="D36">
        <v>22</v>
      </c>
      <c r="E36" t="str">
        <f t="shared" si="0"/>
        <v>Frequent</v>
      </c>
      <c r="F36">
        <f t="shared" si="1"/>
        <v>2</v>
      </c>
      <c r="G36">
        <v>606</v>
      </c>
      <c r="H36" t="str">
        <f t="shared" si="2"/>
        <v>High Spender</v>
      </c>
      <c r="I36">
        <f t="shared" si="3"/>
        <v>4</v>
      </c>
      <c r="J36" t="s">
        <v>7</v>
      </c>
      <c r="K36" t="s">
        <v>18</v>
      </c>
      <c r="L36">
        <f t="shared" si="4"/>
        <v>6</v>
      </c>
      <c r="M36" t="str">
        <f t="shared" si="5"/>
        <v>High Value</v>
      </c>
    </row>
    <row r="37" spans="1:13" x14ac:dyDescent="0.35">
      <c r="A37">
        <v>36</v>
      </c>
      <c r="B37">
        <v>62</v>
      </c>
      <c r="C37" t="s">
        <v>18</v>
      </c>
      <c r="D37">
        <v>18</v>
      </c>
      <c r="E37" t="str">
        <f t="shared" si="0"/>
        <v>Frequent</v>
      </c>
      <c r="F37">
        <f t="shared" si="1"/>
        <v>2</v>
      </c>
      <c r="G37">
        <v>224</v>
      </c>
      <c r="H37" t="str">
        <f t="shared" si="2"/>
        <v>Medium Spender</v>
      </c>
      <c r="I37">
        <f t="shared" si="3"/>
        <v>2</v>
      </c>
      <c r="J37" t="s">
        <v>18</v>
      </c>
      <c r="K37" t="s">
        <v>18</v>
      </c>
      <c r="L37">
        <f t="shared" si="4"/>
        <v>4</v>
      </c>
      <c r="M37" t="str">
        <f t="shared" si="5"/>
        <v>Medium</v>
      </c>
    </row>
    <row r="38" spans="1:13" x14ac:dyDescent="0.35">
      <c r="A38">
        <v>37</v>
      </c>
      <c r="B38">
        <v>51</v>
      </c>
      <c r="C38" t="s">
        <v>14</v>
      </c>
      <c r="D38">
        <v>11</v>
      </c>
      <c r="E38" t="str">
        <f t="shared" si="0"/>
        <v>Frequent</v>
      </c>
      <c r="F38">
        <f t="shared" si="1"/>
        <v>2</v>
      </c>
      <c r="G38">
        <v>708</v>
      </c>
      <c r="H38" t="str">
        <f t="shared" si="2"/>
        <v>High Spender</v>
      </c>
      <c r="I38">
        <f t="shared" si="3"/>
        <v>4</v>
      </c>
      <c r="J38" t="s">
        <v>16</v>
      </c>
      <c r="K38" t="s">
        <v>18</v>
      </c>
      <c r="L38">
        <f t="shared" si="4"/>
        <v>6</v>
      </c>
      <c r="M38" t="str">
        <f t="shared" si="5"/>
        <v>High Value</v>
      </c>
    </row>
    <row r="39" spans="1:13" x14ac:dyDescent="0.35">
      <c r="A39">
        <v>38</v>
      </c>
      <c r="B39">
        <v>20</v>
      </c>
      <c r="C39" t="s">
        <v>13</v>
      </c>
      <c r="D39">
        <v>17</v>
      </c>
      <c r="E39" t="str">
        <f t="shared" si="0"/>
        <v>Frequent</v>
      </c>
      <c r="F39">
        <f t="shared" si="1"/>
        <v>2</v>
      </c>
      <c r="G39">
        <v>579</v>
      </c>
      <c r="H39" t="str">
        <f t="shared" si="2"/>
        <v>High Spender</v>
      </c>
      <c r="I39">
        <f t="shared" si="3"/>
        <v>4</v>
      </c>
      <c r="J39" t="s">
        <v>12</v>
      </c>
      <c r="K39" t="s">
        <v>11</v>
      </c>
      <c r="L39">
        <f t="shared" si="4"/>
        <v>6</v>
      </c>
      <c r="M39" t="str">
        <f t="shared" si="5"/>
        <v>High Value</v>
      </c>
    </row>
    <row r="40" spans="1:13" x14ac:dyDescent="0.35">
      <c r="A40">
        <v>39</v>
      </c>
      <c r="B40">
        <v>54</v>
      </c>
      <c r="C40" t="s">
        <v>13</v>
      </c>
      <c r="D40">
        <v>5</v>
      </c>
      <c r="E40" t="str">
        <f t="shared" si="0"/>
        <v>Moderate</v>
      </c>
      <c r="F40">
        <f t="shared" si="1"/>
        <v>1</v>
      </c>
      <c r="G40">
        <v>589</v>
      </c>
      <c r="H40" t="str">
        <f t="shared" si="2"/>
        <v>High Spender</v>
      </c>
      <c r="I40">
        <f t="shared" si="3"/>
        <v>4</v>
      </c>
      <c r="J40" t="s">
        <v>7</v>
      </c>
      <c r="K40" t="s">
        <v>11</v>
      </c>
      <c r="L40">
        <f t="shared" si="4"/>
        <v>5</v>
      </c>
      <c r="M40" t="str">
        <f t="shared" si="5"/>
        <v>High Value</v>
      </c>
    </row>
    <row r="41" spans="1:13" x14ac:dyDescent="0.35">
      <c r="A41">
        <v>40</v>
      </c>
      <c r="B41">
        <v>60</v>
      </c>
      <c r="C41" t="s">
        <v>14</v>
      </c>
      <c r="D41">
        <v>17</v>
      </c>
      <c r="E41" t="str">
        <f t="shared" si="0"/>
        <v>Frequent</v>
      </c>
      <c r="F41">
        <f t="shared" si="1"/>
        <v>2</v>
      </c>
      <c r="G41">
        <v>165</v>
      </c>
      <c r="H41" t="str">
        <f t="shared" si="2"/>
        <v>Medium Spender</v>
      </c>
      <c r="I41">
        <f t="shared" si="3"/>
        <v>2</v>
      </c>
      <c r="J41" t="s">
        <v>16</v>
      </c>
      <c r="K41" t="s">
        <v>18</v>
      </c>
      <c r="L41">
        <f t="shared" si="4"/>
        <v>4</v>
      </c>
      <c r="M41" t="str">
        <f t="shared" si="5"/>
        <v>Medium</v>
      </c>
    </row>
    <row r="42" spans="1:13" x14ac:dyDescent="0.35">
      <c r="A42">
        <v>41</v>
      </c>
      <c r="B42">
        <v>57</v>
      </c>
      <c r="C42" t="s">
        <v>14</v>
      </c>
      <c r="D42">
        <v>18</v>
      </c>
      <c r="E42" t="str">
        <f t="shared" si="0"/>
        <v>Frequent</v>
      </c>
      <c r="F42">
        <f t="shared" si="1"/>
        <v>2</v>
      </c>
      <c r="G42">
        <v>685</v>
      </c>
      <c r="H42" t="str">
        <f t="shared" si="2"/>
        <v>High Spender</v>
      </c>
      <c r="I42">
        <f t="shared" si="3"/>
        <v>4</v>
      </c>
      <c r="J42" t="s">
        <v>9</v>
      </c>
      <c r="K42" t="s">
        <v>18</v>
      </c>
      <c r="L42">
        <f t="shared" si="4"/>
        <v>6</v>
      </c>
      <c r="M42" t="str">
        <f t="shared" si="5"/>
        <v>High Value</v>
      </c>
    </row>
    <row r="43" spans="1:13" x14ac:dyDescent="0.35">
      <c r="A43">
        <v>42</v>
      </c>
      <c r="B43">
        <v>43</v>
      </c>
      <c r="C43" t="s">
        <v>13</v>
      </c>
      <c r="D43">
        <v>21</v>
      </c>
      <c r="E43" t="str">
        <f t="shared" si="0"/>
        <v>Frequent</v>
      </c>
      <c r="F43">
        <f t="shared" si="1"/>
        <v>2</v>
      </c>
      <c r="G43">
        <v>93</v>
      </c>
      <c r="H43" t="str">
        <f t="shared" si="2"/>
        <v>Low Spender</v>
      </c>
      <c r="I43">
        <f t="shared" si="3"/>
        <v>1</v>
      </c>
      <c r="J43" t="s">
        <v>16</v>
      </c>
      <c r="K43" t="s">
        <v>18</v>
      </c>
      <c r="L43">
        <f t="shared" si="4"/>
        <v>3</v>
      </c>
      <c r="M43" t="str">
        <f t="shared" si="5"/>
        <v>Medium</v>
      </c>
    </row>
    <row r="44" spans="1:13" x14ac:dyDescent="0.35">
      <c r="A44">
        <v>43</v>
      </c>
      <c r="B44">
        <v>72</v>
      </c>
      <c r="C44" t="s">
        <v>18</v>
      </c>
      <c r="D44">
        <v>4</v>
      </c>
      <c r="E44" t="str">
        <f t="shared" si="0"/>
        <v>Moderate</v>
      </c>
      <c r="F44">
        <f t="shared" si="1"/>
        <v>1</v>
      </c>
      <c r="G44">
        <v>692</v>
      </c>
      <c r="H44" t="str">
        <f t="shared" si="2"/>
        <v>High Spender</v>
      </c>
      <c r="I44">
        <f t="shared" si="3"/>
        <v>4</v>
      </c>
      <c r="J44" t="s">
        <v>12</v>
      </c>
      <c r="K44" t="s">
        <v>18</v>
      </c>
      <c r="L44">
        <f t="shared" si="4"/>
        <v>5</v>
      </c>
      <c r="M44" t="str">
        <f t="shared" si="5"/>
        <v>High Value</v>
      </c>
    </row>
    <row r="45" spans="1:13" x14ac:dyDescent="0.35">
      <c r="A45">
        <v>44</v>
      </c>
      <c r="B45">
        <v>40</v>
      </c>
      <c r="C45" t="s">
        <v>14</v>
      </c>
      <c r="D45">
        <v>23</v>
      </c>
      <c r="E45" t="str">
        <f t="shared" si="0"/>
        <v>Frequent</v>
      </c>
      <c r="F45">
        <f t="shared" si="1"/>
        <v>2</v>
      </c>
      <c r="G45">
        <v>785</v>
      </c>
      <c r="H45" t="str">
        <f t="shared" si="2"/>
        <v>High Spender</v>
      </c>
      <c r="I45">
        <f t="shared" si="3"/>
        <v>4</v>
      </c>
      <c r="J45" t="s">
        <v>16</v>
      </c>
      <c r="K45" t="s">
        <v>8</v>
      </c>
      <c r="L45">
        <f t="shared" si="4"/>
        <v>6</v>
      </c>
      <c r="M45" t="str">
        <f t="shared" si="5"/>
        <v>High Value</v>
      </c>
    </row>
    <row r="46" spans="1:13" x14ac:dyDescent="0.35">
      <c r="A46">
        <v>45</v>
      </c>
      <c r="B46">
        <v>61</v>
      </c>
      <c r="C46" t="s">
        <v>14</v>
      </c>
      <c r="D46">
        <v>8</v>
      </c>
      <c r="E46" t="str">
        <f t="shared" si="0"/>
        <v>Frequent</v>
      </c>
      <c r="F46">
        <f t="shared" si="1"/>
        <v>2</v>
      </c>
      <c r="G46">
        <v>589</v>
      </c>
      <c r="H46" t="str">
        <f t="shared" si="2"/>
        <v>High Spender</v>
      </c>
      <c r="I46">
        <f t="shared" si="3"/>
        <v>4</v>
      </c>
      <c r="J46" t="s">
        <v>10</v>
      </c>
      <c r="K46" t="s">
        <v>11</v>
      </c>
      <c r="L46">
        <f t="shared" si="4"/>
        <v>6</v>
      </c>
      <c r="M46" t="str">
        <f t="shared" si="5"/>
        <v>High Value</v>
      </c>
    </row>
    <row r="47" spans="1:13" x14ac:dyDescent="0.35">
      <c r="A47">
        <v>46</v>
      </c>
      <c r="B47">
        <v>56</v>
      </c>
      <c r="C47" t="s">
        <v>14</v>
      </c>
      <c r="D47">
        <v>20</v>
      </c>
      <c r="E47" t="str">
        <f t="shared" si="0"/>
        <v>Frequent</v>
      </c>
      <c r="F47">
        <f t="shared" si="1"/>
        <v>2</v>
      </c>
      <c r="G47">
        <v>761</v>
      </c>
      <c r="H47" t="str">
        <f t="shared" si="2"/>
        <v>High Spender</v>
      </c>
      <c r="I47">
        <f t="shared" si="3"/>
        <v>4</v>
      </c>
      <c r="J47" t="s">
        <v>12</v>
      </c>
      <c r="K47" t="s">
        <v>18</v>
      </c>
      <c r="L47">
        <f t="shared" si="4"/>
        <v>6</v>
      </c>
      <c r="M47" t="str">
        <f t="shared" si="5"/>
        <v>High Value</v>
      </c>
    </row>
    <row r="48" spans="1:13" x14ac:dyDescent="0.35">
      <c r="A48">
        <v>47</v>
      </c>
      <c r="B48">
        <v>32</v>
      </c>
      <c r="C48" t="s">
        <v>18</v>
      </c>
      <c r="D48">
        <v>2</v>
      </c>
      <c r="E48" t="str">
        <f t="shared" si="0"/>
        <v>Low</v>
      </c>
      <c r="F48">
        <f t="shared" si="1"/>
        <v>0</v>
      </c>
      <c r="G48">
        <v>593</v>
      </c>
      <c r="H48" t="str">
        <f t="shared" si="2"/>
        <v>High Spender</v>
      </c>
      <c r="I48">
        <f t="shared" si="3"/>
        <v>4</v>
      </c>
      <c r="J48" t="s">
        <v>18</v>
      </c>
      <c r="K48" t="s">
        <v>18</v>
      </c>
      <c r="L48">
        <f t="shared" si="4"/>
        <v>4</v>
      </c>
      <c r="M48" t="str">
        <f t="shared" si="5"/>
        <v>Medium</v>
      </c>
    </row>
    <row r="49" spans="1:13" x14ac:dyDescent="0.35">
      <c r="A49">
        <v>48</v>
      </c>
      <c r="B49">
        <v>73</v>
      </c>
      <c r="C49" t="s">
        <v>18</v>
      </c>
      <c r="D49">
        <v>9</v>
      </c>
      <c r="E49" t="str">
        <f t="shared" si="0"/>
        <v>Frequent</v>
      </c>
      <c r="F49">
        <f t="shared" si="1"/>
        <v>2</v>
      </c>
      <c r="G49">
        <v>163</v>
      </c>
      <c r="H49" t="str">
        <f t="shared" si="2"/>
        <v>Medium Spender</v>
      </c>
      <c r="I49">
        <f t="shared" si="3"/>
        <v>2</v>
      </c>
      <c r="J49" t="s">
        <v>9</v>
      </c>
      <c r="K49" t="s">
        <v>8</v>
      </c>
      <c r="L49">
        <f t="shared" si="4"/>
        <v>4</v>
      </c>
      <c r="M49" t="str">
        <f t="shared" si="5"/>
        <v>Medium</v>
      </c>
    </row>
    <row r="50" spans="1:13" x14ac:dyDescent="0.35">
      <c r="A50">
        <v>49</v>
      </c>
      <c r="B50">
        <v>66</v>
      </c>
      <c r="C50" t="s">
        <v>14</v>
      </c>
      <c r="D50">
        <v>18</v>
      </c>
      <c r="E50" t="str">
        <f t="shared" si="0"/>
        <v>Frequent</v>
      </c>
      <c r="F50">
        <f t="shared" si="1"/>
        <v>2</v>
      </c>
      <c r="G50">
        <v>493</v>
      </c>
      <c r="H50" t="str">
        <f t="shared" si="2"/>
        <v>High Spender</v>
      </c>
      <c r="I50">
        <f t="shared" si="3"/>
        <v>4</v>
      </c>
      <c r="J50" t="s">
        <v>10</v>
      </c>
      <c r="K50" t="s">
        <v>8</v>
      </c>
      <c r="L50">
        <f t="shared" si="4"/>
        <v>6</v>
      </c>
      <c r="M50" t="str">
        <f t="shared" si="5"/>
        <v>High Value</v>
      </c>
    </row>
    <row r="51" spans="1:13" x14ac:dyDescent="0.35">
      <c r="A51">
        <v>50</v>
      </c>
      <c r="B51">
        <v>21</v>
      </c>
      <c r="C51" t="s">
        <v>14</v>
      </c>
      <c r="D51">
        <v>2</v>
      </c>
      <c r="E51" t="str">
        <f t="shared" si="0"/>
        <v>Low</v>
      </c>
      <c r="F51">
        <f t="shared" si="1"/>
        <v>0</v>
      </c>
      <c r="G51">
        <v>328</v>
      </c>
      <c r="H51" t="str">
        <f t="shared" si="2"/>
        <v>High Spender</v>
      </c>
      <c r="I51">
        <f t="shared" si="3"/>
        <v>4</v>
      </c>
      <c r="J51" t="s">
        <v>18</v>
      </c>
      <c r="K51" t="s">
        <v>18</v>
      </c>
      <c r="L51">
        <f t="shared" si="4"/>
        <v>4</v>
      </c>
      <c r="M51" t="str">
        <f t="shared" si="5"/>
        <v>Medium</v>
      </c>
    </row>
    <row r="52" spans="1:13" x14ac:dyDescent="0.35">
      <c r="A52">
        <v>51</v>
      </c>
      <c r="B52">
        <v>46</v>
      </c>
      <c r="C52" t="s">
        <v>18</v>
      </c>
      <c r="D52">
        <v>21</v>
      </c>
      <c r="E52" t="str">
        <f t="shared" si="0"/>
        <v>Frequent</v>
      </c>
      <c r="F52">
        <f t="shared" si="1"/>
        <v>2</v>
      </c>
      <c r="G52">
        <v>614</v>
      </c>
      <c r="H52" t="str">
        <f t="shared" si="2"/>
        <v>High Spender</v>
      </c>
      <c r="I52">
        <f t="shared" si="3"/>
        <v>4</v>
      </c>
      <c r="J52" t="s">
        <v>16</v>
      </c>
      <c r="K52" t="s">
        <v>15</v>
      </c>
      <c r="L52">
        <f t="shared" si="4"/>
        <v>6</v>
      </c>
      <c r="M52" t="str">
        <f t="shared" si="5"/>
        <v>High Value</v>
      </c>
    </row>
    <row r="53" spans="1:13" x14ac:dyDescent="0.35">
      <c r="A53">
        <v>52</v>
      </c>
      <c r="B53">
        <v>39</v>
      </c>
      <c r="C53" t="s">
        <v>13</v>
      </c>
      <c r="D53">
        <v>14</v>
      </c>
      <c r="E53" t="str">
        <f t="shared" si="0"/>
        <v>Frequent</v>
      </c>
      <c r="F53">
        <f t="shared" si="1"/>
        <v>2</v>
      </c>
      <c r="G53">
        <v>385</v>
      </c>
      <c r="H53" t="str">
        <f t="shared" si="2"/>
        <v>High Spender</v>
      </c>
      <c r="I53">
        <f t="shared" si="3"/>
        <v>4</v>
      </c>
      <c r="J53" t="s">
        <v>12</v>
      </c>
      <c r="K53" t="s">
        <v>18</v>
      </c>
      <c r="L53">
        <f t="shared" si="4"/>
        <v>6</v>
      </c>
      <c r="M53" t="str">
        <f t="shared" si="5"/>
        <v>High Value</v>
      </c>
    </row>
    <row r="54" spans="1:13" x14ac:dyDescent="0.35">
      <c r="A54">
        <v>53</v>
      </c>
      <c r="B54">
        <v>42</v>
      </c>
      <c r="C54" t="s">
        <v>13</v>
      </c>
      <c r="D54">
        <v>0</v>
      </c>
      <c r="E54" t="str">
        <f t="shared" si="0"/>
        <v>Inactive</v>
      </c>
      <c r="F54">
        <f t="shared" si="1"/>
        <v>0</v>
      </c>
      <c r="G54">
        <v>106</v>
      </c>
      <c r="H54" t="str">
        <f t="shared" si="2"/>
        <v>Medium Spender</v>
      </c>
      <c r="I54">
        <f t="shared" si="3"/>
        <v>2</v>
      </c>
      <c r="J54" t="s">
        <v>9</v>
      </c>
      <c r="K54" t="s">
        <v>18</v>
      </c>
      <c r="L54">
        <f t="shared" si="4"/>
        <v>2</v>
      </c>
      <c r="M54" t="str">
        <f t="shared" si="5"/>
        <v>Low</v>
      </c>
    </row>
    <row r="55" spans="1:13" x14ac:dyDescent="0.35">
      <c r="A55">
        <v>54</v>
      </c>
      <c r="B55">
        <v>30</v>
      </c>
      <c r="C55" t="s">
        <v>13</v>
      </c>
      <c r="D55">
        <v>6</v>
      </c>
      <c r="E55" t="str">
        <f t="shared" si="0"/>
        <v>Frequent</v>
      </c>
      <c r="F55">
        <f t="shared" si="1"/>
        <v>2</v>
      </c>
      <c r="G55">
        <v>498</v>
      </c>
      <c r="H55" t="str">
        <f t="shared" si="2"/>
        <v>High Spender</v>
      </c>
      <c r="I55">
        <f t="shared" si="3"/>
        <v>4</v>
      </c>
      <c r="J55" t="s">
        <v>10</v>
      </c>
      <c r="K55" t="s">
        <v>8</v>
      </c>
      <c r="L55">
        <f t="shared" si="4"/>
        <v>6</v>
      </c>
      <c r="M55" t="str">
        <f t="shared" si="5"/>
        <v>High Value</v>
      </c>
    </row>
    <row r="56" spans="1:13" x14ac:dyDescent="0.35">
      <c r="A56">
        <v>55</v>
      </c>
      <c r="B56">
        <v>35</v>
      </c>
      <c r="C56" t="s">
        <v>13</v>
      </c>
      <c r="D56">
        <v>11</v>
      </c>
      <c r="E56" t="str">
        <f t="shared" si="0"/>
        <v>Frequent</v>
      </c>
      <c r="F56">
        <f t="shared" si="1"/>
        <v>2</v>
      </c>
      <c r="G56">
        <v>648</v>
      </c>
      <c r="H56" t="str">
        <f t="shared" si="2"/>
        <v>High Spender</v>
      </c>
      <c r="I56">
        <f t="shared" si="3"/>
        <v>4</v>
      </c>
      <c r="J56" t="s">
        <v>18</v>
      </c>
      <c r="K56" t="s">
        <v>8</v>
      </c>
      <c r="L56">
        <f t="shared" si="4"/>
        <v>6</v>
      </c>
      <c r="M56" t="str">
        <f t="shared" si="5"/>
        <v>High Value</v>
      </c>
    </row>
    <row r="57" spans="1:13" x14ac:dyDescent="0.35">
      <c r="A57">
        <v>56</v>
      </c>
      <c r="B57">
        <v>50</v>
      </c>
      <c r="C57" t="s">
        <v>14</v>
      </c>
      <c r="D57">
        <v>16</v>
      </c>
      <c r="E57" t="str">
        <f t="shared" si="0"/>
        <v>Frequent</v>
      </c>
      <c r="F57">
        <f t="shared" si="1"/>
        <v>2</v>
      </c>
      <c r="G57">
        <v>618</v>
      </c>
      <c r="H57" t="str">
        <f t="shared" si="2"/>
        <v>High Spender</v>
      </c>
      <c r="I57">
        <f t="shared" si="3"/>
        <v>4</v>
      </c>
      <c r="J57" t="s">
        <v>18</v>
      </c>
      <c r="K57" t="s">
        <v>18</v>
      </c>
      <c r="L57">
        <f t="shared" si="4"/>
        <v>6</v>
      </c>
      <c r="M57" t="str">
        <f t="shared" si="5"/>
        <v>High Value</v>
      </c>
    </row>
    <row r="58" spans="1:13" x14ac:dyDescent="0.35">
      <c r="A58">
        <v>57</v>
      </c>
      <c r="B58">
        <v>33</v>
      </c>
      <c r="C58" t="s">
        <v>14</v>
      </c>
      <c r="D58">
        <v>20</v>
      </c>
      <c r="E58" t="str">
        <f t="shared" si="0"/>
        <v>Frequent</v>
      </c>
      <c r="F58">
        <f t="shared" si="1"/>
        <v>2</v>
      </c>
      <c r="G58">
        <v>23</v>
      </c>
      <c r="H58" t="str">
        <f t="shared" si="2"/>
        <v>Low Spender</v>
      </c>
      <c r="I58">
        <f t="shared" si="3"/>
        <v>1</v>
      </c>
      <c r="J58" t="s">
        <v>9</v>
      </c>
      <c r="K58" t="s">
        <v>18</v>
      </c>
      <c r="L58">
        <f t="shared" si="4"/>
        <v>3</v>
      </c>
      <c r="M58" t="str">
        <f t="shared" si="5"/>
        <v>Medium</v>
      </c>
    </row>
    <row r="59" spans="1:13" x14ac:dyDescent="0.35">
      <c r="A59">
        <v>58</v>
      </c>
      <c r="B59">
        <v>62</v>
      </c>
      <c r="C59" t="s">
        <v>18</v>
      </c>
      <c r="D59">
        <v>0</v>
      </c>
      <c r="E59" t="str">
        <f t="shared" si="0"/>
        <v>Inactive</v>
      </c>
      <c r="F59">
        <f t="shared" si="1"/>
        <v>0</v>
      </c>
      <c r="G59">
        <v>458</v>
      </c>
      <c r="H59" t="str">
        <f t="shared" si="2"/>
        <v>High Spender</v>
      </c>
      <c r="I59">
        <f t="shared" si="3"/>
        <v>4</v>
      </c>
      <c r="J59" t="s">
        <v>18</v>
      </c>
      <c r="K59" t="s">
        <v>18</v>
      </c>
      <c r="L59">
        <f t="shared" si="4"/>
        <v>4</v>
      </c>
      <c r="M59" t="str">
        <f t="shared" si="5"/>
        <v>Medium</v>
      </c>
    </row>
    <row r="60" spans="1:13" x14ac:dyDescent="0.35">
      <c r="A60">
        <v>59</v>
      </c>
      <c r="B60">
        <v>59</v>
      </c>
      <c r="C60" t="s">
        <v>13</v>
      </c>
      <c r="D60">
        <v>23</v>
      </c>
      <c r="E60" t="str">
        <f t="shared" si="0"/>
        <v>Frequent</v>
      </c>
      <c r="F60">
        <f t="shared" si="1"/>
        <v>2</v>
      </c>
      <c r="G60">
        <v>486</v>
      </c>
      <c r="H60" t="str">
        <f t="shared" si="2"/>
        <v>High Spender</v>
      </c>
      <c r="I60">
        <f t="shared" si="3"/>
        <v>4</v>
      </c>
      <c r="J60" t="s">
        <v>16</v>
      </c>
      <c r="K60" t="s">
        <v>8</v>
      </c>
      <c r="L60">
        <f t="shared" si="4"/>
        <v>6</v>
      </c>
      <c r="M60" t="str">
        <f t="shared" si="5"/>
        <v>High Value</v>
      </c>
    </row>
    <row r="61" spans="1:13" x14ac:dyDescent="0.35">
      <c r="A61">
        <v>60</v>
      </c>
      <c r="B61">
        <v>61</v>
      </c>
      <c r="C61" t="s">
        <v>13</v>
      </c>
      <c r="D61">
        <v>19</v>
      </c>
      <c r="E61" t="str">
        <f t="shared" si="0"/>
        <v>Frequent</v>
      </c>
      <c r="F61">
        <f t="shared" si="1"/>
        <v>2</v>
      </c>
      <c r="G61">
        <v>598</v>
      </c>
      <c r="H61" t="str">
        <f t="shared" si="2"/>
        <v>High Spender</v>
      </c>
      <c r="I61">
        <f t="shared" si="3"/>
        <v>4</v>
      </c>
      <c r="J61" t="s">
        <v>9</v>
      </c>
      <c r="K61" t="s">
        <v>18</v>
      </c>
      <c r="L61">
        <f t="shared" si="4"/>
        <v>6</v>
      </c>
      <c r="M61" t="str">
        <f t="shared" si="5"/>
        <v>High Value</v>
      </c>
    </row>
    <row r="62" spans="1:13" x14ac:dyDescent="0.35">
      <c r="A62">
        <v>61</v>
      </c>
      <c r="B62">
        <v>19</v>
      </c>
      <c r="C62" t="s">
        <v>14</v>
      </c>
      <c r="D62">
        <v>4</v>
      </c>
      <c r="E62" t="str">
        <f t="shared" si="0"/>
        <v>Moderate</v>
      </c>
      <c r="F62">
        <f t="shared" si="1"/>
        <v>1</v>
      </c>
      <c r="G62">
        <v>401</v>
      </c>
      <c r="H62" t="str">
        <f t="shared" si="2"/>
        <v>High Spender</v>
      </c>
      <c r="I62">
        <f t="shared" si="3"/>
        <v>4</v>
      </c>
      <c r="J62" t="s">
        <v>18</v>
      </c>
      <c r="K62" t="s">
        <v>18</v>
      </c>
      <c r="L62">
        <f t="shared" si="4"/>
        <v>5</v>
      </c>
      <c r="M62" t="str">
        <f t="shared" si="5"/>
        <v>High Value</v>
      </c>
    </row>
    <row r="63" spans="1:13" x14ac:dyDescent="0.35">
      <c r="A63">
        <v>62</v>
      </c>
      <c r="B63">
        <v>72</v>
      </c>
      <c r="C63" t="s">
        <v>13</v>
      </c>
      <c r="D63">
        <v>3</v>
      </c>
      <c r="E63" t="str">
        <f t="shared" si="0"/>
        <v>Moderate</v>
      </c>
      <c r="F63">
        <f t="shared" si="1"/>
        <v>1</v>
      </c>
      <c r="G63">
        <v>283</v>
      </c>
      <c r="H63" t="str">
        <f t="shared" si="2"/>
        <v>Medium Spender</v>
      </c>
      <c r="I63">
        <f t="shared" si="3"/>
        <v>2</v>
      </c>
      <c r="J63" t="s">
        <v>7</v>
      </c>
      <c r="K63" t="s">
        <v>18</v>
      </c>
      <c r="L63">
        <f t="shared" si="4"/>
        <v>3</v>
      </c>
      <c r="M63" t="str">
        <f t="shared" si="5"/>
        <v>Medium</v>
      </c>
    </row>
    <row r="64" spans="1:13" x14ac:dyDescent="0.35">
      <c r="A64">
        <v>63</v>
      </c>
      <c r="B64">
        <v>52</v>
      </c>
      <c r="C64" t="s">
        <v>14</v>
      </c>
      <c r="D64">
        <v>11</v>
      </c>
      <c r="E64" t="str">
        <f t="shared" si="0"/>
        <v>Frequent</v>
      </c>
      <c r="F64">
        <f t="shared" si="1"/>
        <v>2</v>
      </c>
      <c r="G64">
        <v>369</v>
      </c>
      <c r="H64" t="str">
        <f t="shared" si="2"/>
        <v>High Spender</v>
      </c>
      <c r="I64">
        <f t="shared" si="3"/>
        <v>4</v>
      </c>
      <c r="J64" t="s">
        <v>10</v>
      </c>
      <c r="K64" t="s">
        <v>15</v>
      </c>
      <c r="L64">
        <f t="shared" si="4"/>
        <v>6</v>
      </c>
      <c r="M64" t="str">
        <f t="shared" si="5"/>
        <v>High Value</v>
      </c>
    </row>
    <row r="65" spans="1:13" x14ac:dyDescent="0.35">
      <c r="A65">
        <v>64</v>
      </c>
      <c r="B65">
        <v>59</v>
      </c>
      <c r="C65" t="s">
        <v>14</v>
      </c>
      <c r="D65">
        <v>19</v>
      </c>
      <c r="E65" t="str">
        <f t="shared" si="0"/>
        <v>Frequent</v>
      </c>
      <c r="F65">
        <f t="shared" si="1"/>
        <v>2</v>
      </c>
      <c r="G65">
        <v>335</v>
      </c>
      <c r="H65" t="str">
        <f t="shared" si="2"/>
        <v>High Spender</v>
      </c>
      <c r="I65">
        <f t="shared" si="3"/>
        <v>4</v>
      </c>
      <c r="J65" t="s">
        <v>9</v>
      </c>
      <c r="K65" t="s">
        <v>11</v>
      </c>
      <c r="L65">
        <f t="shared" si="4"/>
        <v>6</v>
      </c>
      <c r="M65" t="str">
        <f t="shared" si="5"/>
        <v>High Value</v>
      </c>
    </row>
    <row r="66" spans="1:13" x14ac:dyDescent="0.35">
      <c r="A66">
        <v>65</v>
      </c>
      <c r="B66">
        <v>51</v>
      </c>
      <c r="C66" t="s">
        <v>14</v>
      </c>
      <c r="D66">
        <v>23</v>
      </c>
      <c r="E66" t="str">
        <f t="shared" si="0"/>
        <v>Frequent</v>
      </c>
      <c r="F66">
        <f t="shared" si="1"/>
        <v>2</v>
      </c>
      <c r="G66">
        <v>645</v>
      </c>
      <c r="H66" t="str">
        <f t="shared" si="2"/>
        <v>High Spender</v>
      </c>
      <c r="I66">
        <f t="shared" si="3"/>
        <v>4</v>
      </c>
      <c r="J66" t="s">
        <v>18</v>
      </c>
      <c r="K66" t="s">
        <v>15</v>
      </c>
      <c r="L66">
        <f t="shared" si="4"/>
        <v>6</v>
      </c>
      <c r="M66" t="str">
        <f t="shared" si="5"/>
        <v>High Value</v>
      </c>
    </row>
    <row r="67" spans="1:13" x14ac:dyDescent="0.35">
      <c r="A67">
        <v>66</v>
      </c>
      <c r="B67">
        <v>47</v>
      </c>
      <c r="C67" t="s">
        <v>18</v>
      </c>
      <c r="D67">
        <v>17</v>
      </c>
      <c r="E67" t="str">
        <f t="shared" ref="E67:E130" si="6">IF(D67=0,"Inactive",IF(D67&lt;=2,"Low",IF(D67&lt;=5,"Moderate","Frequent")))</f>
        <v>Frequent</v>
      </c>
      <c r="F67">
        <f t="shared" ref="F67:F130" si="7">IF(E67="Inactive",0,IF(E67="Frequent",2,IF(E67="Moderate",1,0)))</f>
        <v>2</v>
      </c>
      <c r="G67">
        <v>348</v>
      </c>
      <c r="H67" t="str">
        <f t="shared" ref="H67:H130" si="8">IF(G67&lt;=100,"Low Spender",IF(G67&lt;=300,"Medium Spender","High Spender"))</f>
        <v>High Spender</v>
      </c>
      <c r="I67">
        <f t="shared" ref="I67:I130" si="9">IF(H67="High Spender",4,IF(H67="Medium Spender",2,1))</f>
        <v>4</v>
      </c>
      <c r="J67" t="s">
        <v>18</v>
      </c>
      <c r="K67" t="s">
        <v>18</v>
      </c>
      <c r="L67">
        <f t="shared" ref="L67:L130" si="10">F67+I67</f>
        <v>6</v>
      </c>
      <c r="M67" t="str">
        <f t="shared" ref="M67:M130" si="11">IF(L67&lt;=2,"Low",IF(L67&lt;=4,"Medium","High Value"))</f>
        <v>High Value</v>
      </c>
    </row>
    <row r="68" spans="1:13" x14ac:dyDescent="0.35">
      <c r="A68">
        <v>67</v>
      </c>
      <c r="B68" t="s">
        <v>17</v>
      </c>
      <c r="C68" t="s">
        <v>18</v>
      </c>
      <c r="D68">
        <v>16</v>
      </c>
      <c r="E68" t="str">
        <f t="shared" si="6"/>
        <v>Frequent</v>
      </c>
      <c r="F68">
        <f t="shared" si="7"/>
        <v>2</v>
      </c>
      <c r="G68">
        <v>459</v>
      </c>
      <c r="H68" t="str">
        <f t="shared" si="8"/>
        <v>High Spender</v>
      </c>
      <c r="I68">
        <f t="shared" si="9"/>
        <v>4</v>
      </c>
      <c r="J68" t="s">
        <v>16</v>
      </c>
      <c r="K68" t="s">
        <v>11</v>
      </c>
      <c r="L68">
        <f t="shared" si="10"/>
        <v>6</v>
      </c>
      <c r="M68" t="str">
        <f t="shared" si="11"/>
        <v>High Value</v>
      </c>
    </row>
    <row r="69" spans="1:13" x14ac:dyDescent="0.35">
      <c r="A69">
        <v>68</v>
      </c>
      <c r="B69">
        <v>72</v>
      </c>
      <c r="C69" t="s">
        <v>14</v>
      </c>
      <c r="D69">
        <v>18</v>
      </c>
      <c r="E69" t="str">
        <f t="shared" si="6"/>
        <v>Frequent</v>
      </c>
      <c r="F69">
        <f t="shared" si="7"/>
        <v>2</v>
      </c>
      <c r="G69">
        <v>605</v>
      </c>
      <c r="H69" t="str">
        <f t="shared" si="8"/>
        <v>High Spender</v>
      </c>
      <c r="I69">
        <f t="shared" si="9"/>
        <v>4</v>
      </c>
      <c r="J69" t="s">
        <v>18</v>
      </c>
      <c r="K69" t="s">
        <v>18</v>
      </c>
      <c r="L69">
        <f t="shared" si="10"/>
        <v>6</v>
      </c>
      <c r="M69" t="str">
        <f t="shared" si="11"/>
        <v>High Value</v>
      </c>
    </row>
    <row r="70" spans="1:13" x14ac:dyDescent="0.35">
      <c r="A70">
        <v>69</v>
      </c>
      <c r="B70">
        <v>30</v>
      </c>
      <c r="C70" t="s">
        <v>14</v>
      </c>
      <c r="D70">
        <v>8</v>
      </c>
      <c r="E70" t="str">
        <f t="shared" si="6"/>
        <v>Frequent</v>
      </c>
      <c r="F70">
        <f t="shared" si="7"/>
        <v>2</v>
      </c>
      <c r="G70">
        <v>729</v>
      </c>
      <c r="H70" t="str">
        <f t="shared" si="8"/>
        <v>High Spender</v>
      </c>
      <c r="I70">
        <f t="shared" si="9"/>
        <v>4</v>
      </c>
      <c r="J70" t="s">
        <v>16</v>
      </c>
      <c r="K70" t="s">
        <v>18</v>
      </c>
      <c r="L70">
        <f t="shared" si="10"/>
        <v>6</v>
      </c>
      <c r="M70" t="str">
        <f t="shared" si="11"/>
        <v>High Value</v>
      </c>
    </row>
    <row r="71" spans="1:13" x14ac:dyDescent="0.35">
      <c r="A71">
        <v>70</v>
      </c>
      <c r="B71">
        <v>30</v>
      </c>
      <c r="C71" t="s">
        <v>14</v>
      </c>
      <c r="D71">
        <v>3</v>
      </c>
      <c r="E71" t="str">
        <f t="shared" si="6"/>
        <v>Moderate</v>
      </c>
      <c r="F71">
        <f t="shared" si="7"/>
        <v>1</v>
      </c>
      <c r="G71">
        <v>659</v>
      </c>
      <c r="H71" t="str">
        <f t="shared" si="8"/>
        <v>High Spender</v>
      </c>
      <c r="I71">
        <f t="shared" si="9"/>
        <v>4</v>
      </c>
      <c r="J71" t="s">
        <v>9</v>
      </c>
      <c r="K71" t="s">
        <v>18</v>
      </c>
      <c r="L71">
        <f t="shared" si="10"/>
        <v>5</v>
      </c>
      <c r="M71" t="str">
        <f t="shared" si="11"/>
        <v>High Value</v>
      </c>
    </row>
    <row r="72" spans="1:13" x14ac:dyDescent="0.35">
      <c r="A72">
        <v>71</v>
      </c>
      <c r="B72">
        <v>35</v>
      </c>
      <c r="C72" t="s">
        <v>14</v>
      </c>
      <c r="D72">
        <v>0</v>
      </c>
      <c r="E72" t="str">
        <f t="shared" si="6"/>
        <v>Inactive</v>
      </c>
      <c r="F72">
        <f t="shared" si="7"/>
        <v>0</v>
      </c>
      <c r="G72">
        <v>69</v>
      </c>
      <c r="H72" t="str">
        <f t="shared" si="8"/>
        <v>Low Spender</v>
      </c>
      <c r="I72">
        <f t="shared" si="9"/>
        <v>1</v>
      </c>
      <c r="J72" t="s">
        <v>16</v>
      </c>
      <c r="K72" t="s">
        <v>8</v>
      </c>
      <c r="L72">
        <f t="shared" si="10"/>
        <v>1</v>
      </c>
      <c r="M72" t="str">
        <f t="shared" si="11"/>
        <v>Low</v>
      </c>
    </row>
    <row r="73" spans="1:13" x14ac:dyDescent="0.35">
      <c r="A73">
        <v>72</v>
      </c>
      <c r="B73">
        <v>49</v>
      </c>
      <c r="C73" t="s">
        <v>14</v>
      </c>
      <c r="D73">
        <v>20</v>
      </c>
      <c r="E73" t="str">
        <f t="shared" si="6"/>
        <v>Frequent</v>
      </c>
      <c r="F73">
        <f t="shared" si="7"/>
        <v>2</v>
      </c>
      <c r="G73">
        <v>80</v>
      </c>
      <c r="H73" t="str">
        <f t="shared" si="8"/>
        <v>Low Spender</v>
      </c>
      <c r="I73">
        <f t="shared" si="9"/>
        <v>1</v>
      </c>
      <c r="J73" t="s">
        <v>12</v>
      </c>
      <c r="K73" t="s">
        <v>18</v>
      </c>
      <c r="L73">
        <f t="shared" si="10"/>
        <v>3</v>
      </c>
      <c r="M73" t="str">
        <f t="shared" si="11"/>
        <v>Medium</v>
      </c>
    </row>
    <row r="74" spans="1:13" x14ac:dyDescent="0.35">
      <c r="A74">
        <v>73</v>
      </c>
      <c r="B74">
        <v>49</v>
      </c>
      <c r="C74" t="s">
        <v>13</v>
      </c>
      <c r="D74">
        <v>1</v>
      </c>
      <c r="E74" t="str">
        <f t="shared" si="6"/>
        <v>Low</v>
      </c>
      <c r="F74">
        <f t="shared" si="7"/>
        <v>0</v>
      </c>
      <c r="G74">
        <v>715</v>
      </c>
      <c r="H74" t="str">
        <f t="shared" si="8"/>
        <v>High Spender</v>
      </c>
      <c r="I74">
        <f t="shared" si="9"/>
        <v>4</v>
      </c>
      <c r="J74" t="s">
        <v>12</v>
      </c>
      <c r="K74" t="s">
        <v>8</v>
      </c>
      <c r="L74">
        <f t="shared" si="10"/>
        <v>4</v>
      </c>
      <c r="M74" t="str">
        <f t="shared" si="11"/>
        <v>Medium</v>
      </c>
    </row>
    <row r="75" spans="1:13" x14ac:dyDescent="0.35">
      <c r="A75">
        <v>74</v>
      </c>
      <c r="B75">
        <v>52</v>
      </c>
      <c r="C75" t="s">
        <v>13</v>
      </c>
      <c r="D75">
        <v>3</v>
      </c>
      <c r="E75" t="str">
        <f t="shared" si="6"/>
        <v>Moderate</v>
      </c>
      <c r="F75">
        <f t="shared" si="7"/>
        <v>1</v>
      </c>
      <c r="G75">
        <v>147</v>
      </c>
      <c r="H75" t="str">
        <f t="shared" si="8"/>
        <v>Medium Spender</v>
      </c>
      <c r="I75">
        <f t="shared" si="9"/>
        <v>2</v>
      </c>
      <c r="J75" t="s">
        <v>12</v>
      </c>
      <c r="K75" t="s">
        <v>18</v>
      </c>
      <c r="L75">
        <f t="shared" si="10"/>
        <v>3</v>
      </c>
      <c r="M75" t="str">
        <f t="shared" si="11"/>
        <v>Medium</v>
      </c>
    </row>
    <row r="76" spans="1:13" x14ac:dyDescent="0.35">
      <c r="A76">
        <v>75</v>
      </c>
      <c r="B76" t="s">
        <v>17</v>
      </c>
      <c r="C76" t="s">
        <v>14</v>
      </c>
      <c r="D76">
        <v>1</v>
      </c>
      <c r="E76" t="str">
        <f t="shared" si="6"/>
        <v>Low</v>
      </c>
      <c r="F76">
        <f t="shared" si="7"/>
        <v>0</v>
      </c>
      <c r="G76">
        <v>609</v>
      </c>
      <c r="H76" t="str">
        <f t="shared" si="8"/>
        <v>High Spender</v>
      </c>
      <c r="I76">
        <f t="shared" si="9"/>
        <v>4</v>
      </c>
      <c r="J76" t="s">
        <v>18</v>
      </c>
      <c r="K76" t="s">
        <v>18</v>
      </c>
      <c r="L76">
        <f t="shared" si="10"/>
        <v>4</v>
      </c>
      <c r="M76" t="str">
        <f t="shared" si="11"/>
        <v>Medium</v>
      </c>
    </row>
    <row r="77" spans="1:13" x14ac:dyDescent="0.35">
      <c r="A77">
        <v>76</v>
      </c>
      <c r="B77">
        <v>56</v>
      </c>
      <c r="C77" t="s">
        <v>13</v>
      </c>
      <c r="D77">
        <v>14</v>
      </c>
      <c r="E77" t="str">
        <f t="shared" si="6"/>
        <v>Frequent</v>
      </c>
      <c r="F77">
        <f t="shared" si="7"/>
        <v>2</v>
      </c>
      <c r="G77">
        <v>477</v>
      </c>
      <c r="H77" t="str">
        <f t="shared" si="8"/>
        <v>High Spender</v>
      </c>
      <c r="I77">
        <f t="shared" si="9"/>
        <v>4</v>
      </c>
      <c r="J77" t="s">
        <v>18</v>
      </c>
      <c r="K77" t="s">
        <v>8</v>
      </c>
      <c r="L77">
        <f t="shared" si="10"/>
        <v>6</v>
      </c>
      <c r="M77" t="str">
        <f t="shared" si="11"/>
        <v>High Value</v>
      </c>
    </row>
    <row r="78" spans="1:13" x14ac:dyDescent="0.35">
      <c r="A78">
        <v>77</v>
      </c>
      <c r="B78">
        <v>63</v>
      </c>
      <c r="C78" t="s">
        <v>14</v>
      </c>
      <c r="D78">
        <v>1</v>
      </c>
      <c r="E78" t="str">
        <f t="shared" si="6"/>
        <v>Low</v>
      </c>
      <c r="F78">
        <f t="shared" si="7"/>
        <v>0</v>
      </c>
      <c r="G78">
        <v>421</v>
      </c>
      <c r="H78" t="str">
        <f t="shared" si="8"/>
        <v>High Spender</v>
      </c>
      <c r="I78">
        <f t="shared" si="9"/>
        <v>4</v>
      </c>
      <c r="J78" t="s">
        <v>7</v>
      </c>
      <c r="K78" t="s">
        <v>11</v>
      </c>
      <c r="L78">
        <f t="shared" si="10"/>
        <v>4</v>
      </c>
      <c r="M78" t="str">
        <f t="shared" si="11"/>
        <v>Medium</v>
      </c>
    </row>
    <row r="79" spans="1:13" x14ac:dyDescent="0.35">
      <c r="A79">
        <v>78</v>
      </c>
      <c r="B79">
        <v>69</v>
      </c>
      <c r="C79" t="s">
        <v>13</v>
      </c>
      <c r="D79">
        <v>3</v>
      </c>
      <c r="E79" t="str">
        <f t="shared" si="6"/>
        <v>Moderate</v>
      </c>
      <c r="F79">
        <f t="shared" si="7"/>
        <v>1</v>
      </c>
      <c r="G79">
        <v>309</v>
      </c>
      <c r="H79" t="str">
        <f t="shared" si="8"/>
        <v>High Spender</v>
      </c>
      <c r="I79">
        <f t="shared" si="9"/>
        <v>4</v>
      </c>
      <c r="J79" t="s">
        <v>18</v>
      </c>
      <c r="K79" t="s">
        <v>15</v>
      </c>
      <c r="L79">
        <f t="shared" si="10"/>
        <v>5</v>
      </c>
      <c r="M79" t="str">
        <f t="shared" si="11"/>
        <v>High Value</v>
      </c>
    </row>
    <row r="80" spans="1:13" x14ac:dyDescent="0.35">
      <c r="A80">
        <v>79</v>
      </c>
      <c r="B80">
        <v>46</v>
      </c>
      <c r="C80" t="s">
        <v>14</v>
      </c>
      <c r="D80">
        <v>5</v>
      </c>
      <c r="E80" t="str">
        <f t="shared" si="6"/>
        <v>Moderate</v>
      </c>
      <c r="F80">
        <f t="shared" si="7"/>
        <v>1</v>
      </c>
      <c r="G80">
        <v>740</v>
      </c>
      <c r="H80" t="str">
        <f t="shared" si="8"/>
        <v>High Spender</v>
      </c>
      <c r="I80">
        <f t="shared" si="9"/>
        <v>4</v>
      </c>
      <c r="J80" t="s">
        <v>9</v>
      </c>
      <c r="K80" t="s">
        <v>18</v>
      </c>
      <c r="L80">
        <f t="shared" si="10"/>
        <v>5</v>
      </c>
      <c r="M80" t="str">
        <f t="shared" si="11"/>
        <v>High Value</v>
      </c>
    </row>
    <row r="81" spans="1:13" x14ac:dyDescent="0.35">
      <c r="A81">
        <v>80</v>
      </c>
      <c r="B81">
        <v>66</v>
      </c>
      <c r="C81" t="s">
        <v>13</v>
      </c>
      <c r="D81">
        <v>6</v>
      </c>
      <c r="E81" t="str">
        <f t="shared" si="6"/>
        <v>Frequent</v>
      </c>
      <c r="F81">
        <f t="shared" si="7"/>
        <v>2</v>
      </c>
      <c r="G81">
        <v>501</v>
      </c>
      <c r="H81" t="str">
        <f t="shared" si="8"/>
        <v>High Spender</v>
      </c>
      <c r="I81">
        <f t="shared" si="9"/>
        <v>4</v>
      </c>
      <c r="J81" t="s">
        <v>18</v>
      </c>
      <c r="K81" t="s">
        <v>18</v>
      </c>
      <c r="L81">
        <f t="shared" si="10"/>
        <v>6</v>
      </c>
      <c r="M81" t="str">
        <f t="shared" si="11"/>
        <v>High Value</v>
      </c>
    </row>
    <row r="82" spans="1:13" x14ac:dyDescent="0.35">
      <c r="A82">
        <v>81</v>
      </c>
      <c r="B82">
        <v>46</v>
      </c>
      <c r="C82" t="s">
        <v>14</v>
      </c>
      <c r="D82">
        <v>9</v>
      </c>
      <c r="E82" t="str">
        <f t="shared" si="6"/>
        <v>Frequent</v>
      </c>
      <c r="F82">
        <f t="shared" si="7"/>
        <v>2</v>
      </c>
      <c r="G82">
        <v>295</v>
      </c>
      <c r="H82" t="str">
        <f t="shared" si="8"/>
        <v>Medium Spender</v>
      </c>
      <c r="I82">
        <f t="shared" si="9"/>
        <v>2</v>
      </c>
      <c r="J82" t="s">
        <v>18</v>
      </c>
      <c r="K82" t="s">
        <v>18</v>
      </c>
      <c r="L82">
        <f t="shared" si="10"/>
        <v>4</v>
      </c>
      <c r="M82" t="str">
        <f t="shared" si="11"/>
        <v>Medium</v>
      </c>
    </row>
    <row r="83" spans="1:13" x14ac:dyDescent="0.35">
      <c r="A83">
        <v>82</v>
      </c>
      <c r="B83">
        <v>70</v>
      </c>
      <c r="C83" t="s">
        <v>14</v>
      </c>
      <c r="D83">
        <v>18</v>
      </c>
      <c r="E83" t="str">
        <f t="shared" si="6"/>
        <v>Frequent</v>
      </c>
      <c r="F83">
        <f t="shared" si="7"/>
        <v>2</v>
      </c>
      <c r="G83">
        <v>106</v>
      </c>
      <c r="H83" t="str">
        <f t="shared" si="8"/>
        <v>Medium Spender</v>
      </c>
      <c r="I83">
        <f t="shared" si="9"/>
        <v>2</v>
      </c>
      <c r="J83" t="s">
        <v>7</v>
      </c>
      <c r="K83" t="s">
        <v>8</v>
      </c>
      <c r="L83">
        <f t="shared" si="10"/>
        <v>4</v>
      </c>
      <c r="M83" t="str">
        <f t="shared" si="11"/>
        <v>Medium</v>
      </c>
    </row>
    <row r="84" spans="1:13" x14ac:dyDescent="0.35">
      <c r="A84">
        <v>83</v>
      </c>
      <c r="B84">
        <v>61</v>
      </c>
      <c r="C84" t="s">
        <v>18</v>
      </c>
      <c r="D84">
        <v>18</v>
      </c>
      <c r="E84" t="str">
        <f t="shared" si="6"/>
        <v>Frequent</v>
      </c>
      <c r="F84">
        <f t="shared" si="7"/>
        <v>2</v>
      </c>
      <c r="G84">
        <v>271</v>
      </c>
      <c r="H84" t="str">
        <f t="shared" si="8"/>
        <v>Medium Spender</v>
      </c>
      <c r="I84">
        <f t="shared" si="9"/>
        <v>2</v>
      </c>
      <c r="J84" t="s">
        <v>18</v>
      </c>
      <c r="K84" t="s">
        <v>18</v>
      </c>
      <c r="L84">
        <f t="shared" si="10"/>
        <v>4</v>
      </c>
      <c r="M84" t="str">
        <f t="shared" si="11"/>
        <v>Medium</v>
      </c>
    </row>
    <row r="85" spans="1:13" x14ac:dyDescent="0.35">
      <c r="A85">
        <v>84</v>
      </c>
      <c r="B85">
        <v>74</v>
      </c>
      <c r="C85" t="s">
        <v>14</v>
      </c>
      <c r="D85">
        <v>0</v>
      </c>
      <c r="E85" t="str">
        <f t="shared" si="6"/>
        <v>Inactive</v>
      </c>
      <c r="F85">
        <f t="shared" si="7"/>
        <v>0</v>
      </c>
      <c r="G85">
        <v>626</v>
      </c>
      <c r="H85" t="str">
        <f t="shared" si="8"/>
        <v>High Spender</v>
      </c>
      <c r="I85">
        <f t="shared" si="9"/>
        <v>4</v>
      </c>
      <c r="J85" t="s">
        <v>16</v>
      </c>
      <c r="K85" t="s">
        <v>8</v>
      </c>
      <c r="L85">
        <f t="shared" si="10"/>
        <v>4</v>
      </c>
      <c r="M85" t="str">
        <f t="shared" si="11"/>
        <v>Medium</v>
      </c>
    </row>
    <row r="86" spans="1:13" x14ac:dyDescent="0.35">
      <c r="A86">
        <v>85</v>
      </c>
      <c r="B86">
        <v>33</v>
      </c>
      <c r="C86" t="s">
        <v>14</v>
      </c>
      <c r="D86">
        <v>21</v>
      </c>
      <c r="E86" t="str">
        <f t="shared" si="6"/>
        <v>Frequent</v>
      </c>
      <c r="F86">
        <f t="shared" si="7"/>
        <v>2</v>
      </c>
      <c r="G86">
        <v>781</v>
      </c>
      <c r="H86" t="str">
        <f t="shared" si="8"/>
        <v>High Spender</v>
      </c>
      <c r="I86">
        <f t="shared" si="9"/>
        <v>4</v>
      </c>
      <c r="J86" t="s">
        <v>7</v>
      </c>
      <c r="K86" t="s">
        <v>18</v>
      </c>
      <c r="L86">
        <f t="shared" si="10"/>
        <v>6</v>
      </c>
      <c r="M86" t="str">
        <f t="shared" si="11"/>
        <v>High Value</v>
      </c>
    </row>
    <row r="87" spans="1:13" x14ac:dyDescent="0.35">
      <c r="A87">
        <v>86</v>
      </c>
      <c r="B87">
        <v>73</v>
      </c>
      <c r="C87" t="s">
        <v>13</v>
      </c>
      <c r="D87">
        <v>11</v>
      </c>
      <c r="E87" t="str">
        <f t="shared" si="6"/>
        <v>Frequent</v>
      </c>
      <c r="F87">
        <f t="shared" si="7"/>
        <v>2</v>
      </c>
      <c r="G87">
        <v>7</v>
      </c>
      <c r="H87" t="str">
        <f t="shared" si="8"/>
        <v>Low Spender</v>
      </c>
      <c r="I87">
        <f t="shared" si="9"/>
        <v>1</v>
      </c>
      <c r="J87" t="s">
        <v>16</v>
      </c>
      <c r="K87" t="s">
        <v>15</v>
      </c>
      <c r="L87">
        <f t="shared" si="10"/>
        <v>3</v>
      </c>
      <c r="M87" t="str">
        <f t="shared" si="11"/>
        <v>Medium</v>
      </c>
    </row>
    <row r="88" spans="1:13" x14ac:dyDescent="0.35">
      <c r="A88">
        <v>87</v>
      </c>
      <c r="B88">
        <v>61</v>
      </c>
      <c r="C88" t="s">
        <v>13</v>
      </c>
      <c r="D88">
        <v>2</v>
      </c>
      <c r="E88" t="str">
        <f t="shared" si="6"/>
        <v>Low</v>
      </c>
      <c r="F88">
        <f t="shared" si="7"/>
        <v>0</v>
      </c>
      <c r="G88">
        <v>89</v>
      </c>
      <c r="H88" t="str">
        <f t="shared" si="8"/>
        <v>Low Spender</v>
      </c>
      <c r="I88">
        <f t="shared" si="9"/>
        <v>1</v>
      </c>
      <c r="J88" t="s">
        <v>16</v>
      </c>
      <c r="K88" t="s">
        <v>15</v>
      </c>
      <c r="L88">
        <f t="shared" si="10"/>
        <v>1</v>
      </c>
      <c r="M88" t="str">
        <f t="shared" si="11"/>
        <v>Low</v>
      </c>
    </row>
    <row r="89" spans="1:13" x14ac:dyDescent="0.35">
      <c r="A89">
        <v>88</v>
      </c>
      <c r="B89">
        <v>64</v>
      </c>
      <c r="C89" t="s">
        <v>14</v>
      </c>
      <c r="D89">
        <v>12</v>
      </c>
      <c r="E89" t="str">
        <f t="shared" si="6"/>
        <v>Frequent</v>
      </c>
      <c r="F89">
        <f t="shared" si="7"/>
        <v>2</v>
      </c>
      <c r="G89">
        <v>798</v>
      </c>
      <c r="H89" t="str">
        <f t="shared" si="8"/>
        <v>High Spender</v>
      </c>
      <c r="I89">
        <f t="shared" si="9"/>
        <v>4</v>
      </c>
      <c r="J89" t="s">
        <v>10</v>
      </c>
      <c r="K89" t="s">
        <v>15</v>
      </c>
      <c r="L89">
        <f t="shared" si="10"/>
        <v>6</v>
      </c>
      <c r="M89" t="str">
        <f t="shared" si="11"/>
        <v>High Value</v>
      </c>
    </row>
    <row r="90" spans="1:13" x14ac:dyDescent="0.35">
      <c r="A90">
        <v>89</v>
      </c>
      <c r="B90">
        <v>74</v>
      </c>
      <c r="C90" t="s">
        <v>18</v>
      </c>
      <c r="D90">
        <v>17</v>
      </c>
      <c r="E90" t="str">
        <f t="shared" si="6"/>
        <v>Frequent</v>
      </c>
      <c r="F90">
        <f t="shared" si="7"/>
        <v>2</v>
      </c>
      <c r="G90">
        <v>332</v>
      </c>
      <c r="H90" t="str">
        <f t="shared" si="8"/>
        <v>High Spender</v>
      </c>
      <c r="I90">
        <f t="shared" si="9"/>
        <v>4</v>
      </c>
      <c r="J90" t="s">
        <v>18</v>
      </c>
      <c r="K90" t="s">
        <v>15</v>
      </c>
      <c r="L90">
        <f t="shared" si="10"/>
        <v>6</v>
      </c>
      <c r="M90" t="str">
        <f t="shared" si="11"/>
        <v>High Value</v>
      </c>
    </row>
    <row r="91" spans="1:13" x14ac:dyDescent="0.35">
      <c r="A91">
        <v>90</v>
      </c>
      <c r="B91">
        <v>27</v>
      </c>
      <c r="C91" t="s">
        <v>14</v>
      </c>
      <c r="D91">
        <v>7</v>
      </c>
      <c r="E91" t="str">
        <f t="shared" si="6"/>
        <v>Frequent</v>
      </c>
      <c r="F91">
        <f t="shared" si="7"/>
        <v>2</v>
      </c>
      <c r="G91">
        <v>454</v>
      </c>
      <c r="H91" t="str">
        <f t="shared" si="8"/>
        <v>High Spender</v>
      </c>
      <c r="I91">
        <f t="shared" si="9"/>
        <v>4</v>
      </c>
      <c r="J91" t="s">
        <v>12</v>
      </c>
      <c r="K91" t="s">
        <v>15</v>
      </c>
      <c r="L91">
        <f t="shared" si="10"/>
        <v>6</v>
      </c>
      <c r="M91" t="str">
        <f t="shared" si="11"/>
        <v>High Value</v>
      </c>
    </row>
    <row r="92" spans="1:13" x14ac:dyDescent="0.35">
      <c r="A92">
        <v>91</v>
      </c>
      <c r="B92">
        <v>47</v>
      </c>
      <c r="C92" t="s">
        <v>18</v>
      </c>
      <c r="D92">
        <v>20</v>
      </c>
      <c r="E92" t="str">
        <f t="shared" si="6"/>
        <v>Frequent</v>
      </c>
      <c r="F92">
        <f t="shared" si="7"/>
        <v>2</v>
      </c>
      <c r="G92">
        <v>458</v>
      </c>
      <c r="H92" t="str">
        <f t="shared" si="8"/>
        <v>High Spender</v>
      </c>
      <c r="I92">
        <f t="shared" si="9"/>
        <v>4</v>
      </c>
      <c r="J92" t="s">
        <v>18</v>
      </c>
      <c r="K92" t="s">
        <v>15</v>
      </c>
      <c r="L92">
        <f t="shared" si="10"/>
        <v>6</v>
      </c>
      <c r="M92" t="str">
        <f t="shared" si="11"/>
        <v>High Value</v>
      </c>
    </row>
    <row r="93" spans="1:13" x14ac:dyDescent="0.35">
      <c r="A93">
        <v>92</v>
      </c>
      <c r="B93">
        <v>42</v>
      </c>
      <c r="C93" t="s">
        <v>13</v>
      </c>
      <c r="D93">
        <v>14</v>
      </c>
      <c r="E93" t="str">
        <f t="shared" si="6"/>
        <v>Frequent</v>
      </c>
      <c r="F93">
        <f t="shared" si="7"/>
        <v>2</v>
      </c>
      <c r="G93">
        <v>633</v>
      </c>
      <c r="H93" t="str">
        <f t="shared" si="8"/>
        <v>High Spender</v>
      </c>
      <c r="I93">
        <f t="shared" si="9"/>
        <v>4</v>
      </c>
      <c r="J93" t="s">
        <v>16</v>
      </c>
      <c r="K93" t="s">
        <v>8</v>
      </c>
      <c r="L93">
        <f t="shared" si="10"/>
        <v>6</v>
      </c>
      <c r="M93" t="str">
        <f t="shared" si="11"/>
        <v>High Value</v>
      </c>
    </row>
    <row r="94" spans="1:13" x14ac:dyDescent="0.35">
      <c r="A94">
        <v>93</v>
      </c>
      <c r="B94">
        <v>56</v>
      </c>
      <c r="C94" t="s">
        <v>13</v>
      </c>
      <c r="D94">
        <v>0</v>
      </c>
      <c r="E94" t="str">
        <f t="shared" si="6"/>
        <v>Inactive</v>
      </c>
      <c r="F94">
        <f t="shared" si="7"/>
        <v>0</v>
      </c>
      <c r="G94">
        <v>225</v>
      </c>
      <c r="H94" t="str">
        <f t="shared" si="8"/>
        <v>Medium Spender</v>
      </c>
      <c r="I94">
        <f t="shared" si="9"/>
        <v>2</v>
      </c>
      <c r="J94" t="s">
        <v>10</v>
      </c>
      <c r="K94" t="s">
        <v>18</v>
      </c>
      <c r="L94">
        <f t="shared" si="10"/>
        <v>2</v>
      </c>
      <c r="M94" t="str">
        <f t="shared" si="11"/>
        <v>Low</v>
      </c>
    </row>
    <row r="95" spans="1:13" x14ac:dyDescent="0.35">
      <c r="A95">
        <v>94</v>
      </c>
      <c r="B95">
        <v>37</v>
      </c>
      <c r="C95" t="s">
        <v>13</v>
      </c>
      <c r="D95">
        <v>2</v>
      </c>
      <c r="E95" t="str">
        <f t="shared" si="6"/>
        <v>Low</v>
      </c>
      <c r="F95">
        <f t="shared" si="7"/>
        <v>0</v>
      </c>
      <c r="G95">
        <v>158</v>
      </c>
      <c r="H95" t="str">
        <f t="shared" si="8"/>
        <v>Medium Spender</v>
      </c>
      <c r="I95">
        <f t="shared" si="9"/>
        <v>2</v>
      </c>
      <c r="J95" t="s">
        <v>18</v>
      </c>
      <c r="K95" t="s">
        <v>18</v>
      </c>
      <c r="L95">
        <f t="shared" si="10"/>
        <v>2</v>
      </c>
      <c r="M95" t="str">
        <f t="shared" si="11"/>
        <v>Low</v>
      </c>
    </row>
    <row r="96" spans="1:13" x14ac:dyDescent="0.35">
      <c r="A96">
        <v>95</v>
      </c>
      <c r="B96">
        <v>22</v>
      </c>
      <c r="C96" t="s">
        <v>13</v>
      </c>
      <c r="D96">
        <v>0</v>
      </c>
      <c r="E96" t="str">
        <f t="shared" si="6"/>
        <v>Inactive</v>
      </c>
      <c r="F96">
        <f t="shared" si="7"/>
        <v>0</v>
      </c>
      <c r="G96">
        <v>669</v>
      </c>
      <c r="H96" t="str">
        <f t="shared" si="8"/>
        <v>High Spender</v>
      </c>
      <c r="I96">
        <f t="shared" si="9"/>
        <v>4</v>
      </c>
      <c r="J96" t="s">
        <v>12</v>
      </c>
      <c r="K96" t="s">
        <v>15</v>
      </c>
      <c r="L96">
        <f t="shared" si="10"/>
        <v>4</v>
      </c>
      <c r="M96" t="str">
        <f t="shared" si="11"/>
        <v>Medium</v>
      </c>
    </row>
    <row r="97" spans="1:13" x14ac:dyDescent="0.35">
      <c r="A97">
        <v>96</v>
      </c>
      <c r="B97">
        <v>18</v>
      </c>
      <c r="C97" t="s">
        <v>14</v>
      </c>
      <c r="D97">
        <v>7</v>
      </c>
      <c r="E97" t="str">
        <f t="shared" si="6"/>
        <v>Frequent</v>
      </c>
      <c r="F97">
        <f t="shared" si="7"/>
        <v>2</v>
      </c>
      <c r="G97">
        <v>16</v>
      </c>
      <c r="H97" t="str">
        <f t="shared" si="8"/>
        <v>Low Spender</v>
      </c>
      <c r="I97">
        <f t="shared" si="9"/>
        <v>1</v>
      </c>
      <c r="J97" t="s">
        <v>16</v>
      </c>
      <c r="K97" t="s">
        <v>8</v>
      </c>
      <c r="L97">
        <f t="shared" si="10"/>
        <v>3</v>
      </c>
      <c r="M97" t="str">
        <f t="shared" si="11"/>
        <v>Medium</v>
      </c>
    </row>
    <row r="98" spans="1:13" x14ac:dyDescent="0.35">
      <c r="A98">
        <v>97</v>
      </c>
      <c r="B98">
        <v>47</v>
      </c>
      <c r="C98" t="s">
        <v>14</v>
      </c>
      <c r="D98">
        <v>3</v>
      </c>
      <c r="E98" t="str">
        <f t="shared" si="6"/>
        <v>Moderate</v>
      </c>
      <c r="F98">
        <f t="shared" si="7"/>
        <v>1</v>
      </c>
      <c r="G98">
        <v>137</v>
      </c>
      <c r="H98" t="str">
        <f t="shared" si="8"/>
        <v>Medium Spender</v>
      </c>
      <c r="I98">
        <f t="shared" si="9"/>
        <v>2</v>
      </c>
      <c r="J98" t="s">
        <v>16</v>
      </c>
      <c r="K98" t="s">
        <v>8</v>
      </c>
      <c r="L98">
        <f t="shared" si="10"/>
        <v>3</v>
      </c>
      <c r="M98" t="str">
        <f t="shared" si="11"/>
        <v>Medium</v>
      </c>
    </row>
    <row r="99" spans="1:13" x14ac:dyDescent="0.35">
      <c r="A99">
        <v>98</v>
      </c>
      <c r="B99">
        <v>66</v>
      </c>
      <c r="C99" t="s">
        <v>14</v>
      </c>
      <c r="D99">
        <v>15</v>
      </c>
      <c r="E99" t="str">
        <f t="shared" si="6"/>
        <v>Frequent</v>
      </c>
      <c r="F99">
        <f t="shared" si="7"/>
        <v>2</v>
      </c>
      <c r="G99">
        <v>308</v>
      </c>
      <c r="H99" t="str">
        <f t="shared" si="8"/>
        <v>High Spender</v>
      </c>
      <c r="I99">
        <f t="shared" si="9"/>
        <v>4</v>
      </c>
      <c r="J99" t="s">
        <v>7</v>
      </c>
      <c r="K99" t="s">
        <v>8</v>
      </c>
      <c r="L99">
        <f t="shared" si="10"/>
        <v>6</v>
      </c>
      <c r="M99" t="str">
        <f t="shared" si="11"/>
        <v>High Value</v>
      </c>
    </row>
    <row r="100" spans="1:13" x14ac:dyDescent="0.35">
      <c r="A100">
        <v>99</v>
      </c>
      <c r="B100">
        <v>20</v>
      </c>
      <c r="C100" t="s">
        <v>14</v>
      </c>
      <c r="D100">
        <v>22</v>
      </c>
      <c r="E100" t="str">
        <f t="shared" si="6"/>
        <v>Frequent</v>
      </c>
      <c r="F100">
        <f t="shared" si="7"/>
        <v>2</v>
      </c>
      <c r="G100">
        <v>297</v>
      </c>
      <c r="H100" t="str">
        <f t="shared" si="8"/>
        <v>Medium Spender</v>
      </c>
      <c r="I100">
        <f t="shared" si="9"/>
        <v>2</v>
      </c>
      <c r="J100" t="s">
        <v>7</v>
      </c>
      <c r="K100" t="s">
        <v>18</v>
      </c>
      <c r="L100">
        <f t="shared" si="10"/>
        <v>4</v>
      </c>
      <c r="M100" t="str">
        <f t="shared" si="11"/>
        <v>Medium</v>
      </c>
    </row>
    <row r="101" spans="1:13" x14ac:dyDescent="0.35">
      <c r="A101">
        <v>100</v>
      </c>
      <c r="B101">
        <v>62</v>
      </c>
      <c r="C101" t="s">
        <v>18</v>
      </c>
      <c r="D101">
        <v>9</v>
      </c>
      <c r="E101" t="str">
        <f t="shared" si="6"/>
        <v>Frequent</v>
      </c>
      <c r="F101">
        <f t="shared" si="7"/>
        <v>2</v>
      </c>
      <c r="G101">
        <v>304</v>
      </c>
      <c r="H101" t="str">
        <f t="shared" si="8"/>
        <v>High Spender</v>
      </c>
      <c r="I101">
        <f t="shared" si="9"/>
        <v>4</v>
      </c>
      <c r="J101" t="s">
        <v>18</v>
      </c>
      <c r="K101" t="s">
        <v>18</v>
      </c>
      <c r="L101">
        <f t="shared" si="10"/>
        <v>6</v>
      </c>
      <c r="M101" t="str">
        <f t="shared" si="11"/>
        <v>High Value</v>
      </c>
    </row>
    <row r="102" spans="1:13" x14ac:dyDescent="0.35">
      <c r="A102">
        <v>101</v>
      </c>
      <c r="B102">
        <v>31</v>
      </c>
      <c r="C102" t="s">
        <v>14</v>
      </c>
      <c r="D102">
        <v>11</v>
      </c>
      <c r="E102" t="str">
        <f t="shared" si="6"/>
        <v>Frequent</v>
      </c>
      <c r="F102">
        <f t="shared" si="7"/>
        <v>2</v>
      </c>
      <c r="G102">
        <v>744</v>
      </c>
      <c r="H102" t="str">
        <f t="shared" si="8"/>
        <v>High Spender</v>
      </c>
      <c r="I102">
        <f t="shared" si="9"/>
        <v>4</v>
      </c>
      <c r="J102" t="s">
        <v>12</v>
      </c>
      <c r="K102" t="s">
        <v>18</v>
      </c>
      <c r="L102">
        <f t="shared" si="10"/>
        <v>6</v>
      </c>
      <c r="M102" t="str">
        <f t="shared" si="11"/>
        <v>High Value</v>
      </c>
    </row>
    <row r="103" spans="1:13" x14ac:dyDescent="0.35">
      <c r="A103">
        <v>102</v>
      </c>
      <c r="B103">
        <v>73</v>
      </c>
      <c r="C103" t="s">
        <v>13</v>
      </c>
      <c r="D103">
        <v>13</v>
      </c>
      <c r="E103" t="str">
        <f t="shared" si="6"/>
        <v>Frequent</v>
      </c>
      <c r="F103">
        <f t="shared" si="7"/>
        <v>2</v>
      </c>
      <c r="G103">
        <v>787</v>
      </c>
      <c r="H103" t="str">
        <f t="shared" si="8"/>
        <v>High Spender</v>
      </c>
      <c r="I103">
        <f t="shared" si="9"/>
        <v>4</v>
      </c>
      <c r="J103" t="s">
        <v>16</v>
      </c>
      <c r="K103" t="s">
        <v>11</v>
      </c>
      <c r="L103">
        <f t="shared" si="10"/>
        <v>6</v>
      </c>
      <c r="M103" t="str">
        <f t="shared" si="11"/>
        <v>High Value</v>
      </c>
    </row>
    <row r="104" spans="1:13" x14ac:dyDescent="0.35">
      <c r="A104">
        <v>103</v>
      </c>
      <c r="B104">
        <v>47</v>
      </c>
      <c r="C104" t="s">
        <v>13</v>
      </c>
      <c r="D104">
        <v>13</v>
      </c>
      <c r="E104" t="str">
        <f t="shared" si="6"/>
        <v>Frequent</v>
      </c>
      <c r="F104">
        <f t="shared" si="7"/>
        <v>2</v>
      </c>
      <c r="G104">
        <v>47</v>
      </c>
      <c r="H104" t="str">
        <f t="shared" si="8"/>
        <v>Low Spender</v>
      </c>
      <c r="I104">
        <f t="shared" si="9"/>
        <v>1</v>
      </c>
      <c r="J104" t="s">
        <v>18</v>
      </c>
      <c r="K104" t="s">
        <v>8</v>
      </c>
      <c r="L104">
        <f t="shared" si="10"/>
        <v>3</v>
      </c>
      <c r="M104" t="str">
        <f t="shared" si="11"/>
        <v>Medium</v>
      </c>
    </row>
    <row r="105" spans="1:13" x14ac:dyDescent="0.35">
      <c r="A105">
        <v>104</v>
      </c>
      <c r="B105">
        <v>67</v>
      </c>
      <c r="C105" t="s">
        <v>18</v>
      </c>
      <c r="D105">
        <v>1</v>
      </c>
      <c r="E105" t="str">
        <f t="shared" si="6"/>
        <v>Low</v>
      </c>
      <c r="F105">
        <f t="shared" si="7"/>
        <v>0</v>
      </c>
      <c r="G105">
        <v>347</v>
      </c>
      <c r="H105" t="str">
        <f t="shared" si="8"/>
        <v>High Spender</v>
      </c>
      <c r="I105">
        <f t="shared" si="9"/>
        <v>4</v>
      </c>
      <c r="J105" t="s">
        <v>18</v>
      </c>
      <c r="K105" t="s">
        <v>11</v>
      </c>
      <c r="L105">
        <f t="shared" si="10"/>
        <v>4</v>
      </c>
      <c r="M105" t="str">
        <f t="shared" si="11"/>
        <v>Medium</v>
      </c>
    </row>
    <row r="106" spans="1:13" x14ac:dyDescent="0.35">
      <c r="A106">
        <v>105</v>
      </c>
      <c r="B106">
        <v>21</v>
      </c>
      <c r="C106" t="s">
        <v>13</v>
      </c>
      <c r="D106">
        <v>22</v>
      </c>
      <c r="E106" t="str">
        <f t="shared" si="6"/>
        <v>Frequent</v>
      </c>
      <c r="F106">
        <f t="shared" si="7"/>
        <v>2</v>
      </c>
      <c r="G106">
        <v>330</v>
      </c>
      <c r="H106" t="str">
        <f t="shared" si="8"/>
        <v>High Spender</v>
      </c>
      <c r="I106">
        <f t="shared" si="9"/>
        <v>4</v>
      </c>
      <c r="J106" t="s">
        <v>9</v>
      </c>
      <c r="K106" t="s">
        <v>15</v>
      </c>
      <c r="L106">
        <f t="shared" si="10"/>
        <v>6</v>
      </c>
      <c r="M106" t="str">
        <f t="shared" si="11"/>
        <v>High Value</v>
      </c>
    </row>
    <row r="107" spans="1:13" x14ac:dyDescent="0.35">
      <c r="A107">
        <v>106</v>
      </c>
      <c r="B107">
        <v>35</v>
      </c>
      <c r="C107" t="s">
        <v>18</v>
      </c>
      <c r="D107">
        <v>4</v>
      </c>
      <c r="E107" t="str">
        <f t="shared" si="6"/>
        <v>Moderate</v>
      </c>
      <c r="F107">
        <f t="shared" si="7"/>
        <v>1</v>
      </c>
      <c r="G107">
        <v>502</v>
      </c>
      <c r="H107" t="str">
        <f t="shared" si="8"/>
        <v>High Spender</v>
      </c>
      <c r="I107">
        <f t="shared" si="9"/>
        <v>4</v>
      </c>
      <c r="J107" t="s">
        <v>18</v>
      </c>
      <c r="K107" t="s">
        <v>15</v>
      </c>
      <c r="L107">
        <f t="shared" si="10"/>
        <v>5</v>
      </c>
      <c r="M107" t="str">
        <f t="shared" si="11"/>
        <v>High Value</v>
      </c>
    </row>
    <row r="108" spans="1:13" x14ac:dyDescent="0.35">
      <c r="A108">
        <v>107</v>
      </c>
      <c r="B108">
        <v>54</v>
      </c>
      <c r="C108" t="s">
        <v>18</v>
      </c>
      <c r="D108">
        <v>4</v>
      </c>
      <c r="E108" t="str">
        <f t="shared" si="6"/>
        <v>Moderate</v>
      </c>
      <c r="F108">
        <f t="shared" si="7"/>
        <v>1</v>
      </c>
      <c r="G108">
        <v>368</v>
      </c>
      <c r="H108" t="str">
        <f t="shared" si="8"/>
        <v>High Spender</v>
      </c>
      <c r="I108">
        <f t="shared" si="9"/>
        <v>4</v>
      </c>
      <c r="J108" t="s">
        <v>7</v>
      </c>
      <c r="K108" t="s">
        <v>18</v>
      </c>
      <c r="L108">
        <f t="shared" si="10"/>
        <v>5</v>
      </c>
      <c r="M108" t="str">
        <f t="shared" si="11"/>
        <v>High Value</v>
      </c>
    </row>
    <row r="109" spans="1:13" x14ac:dyDescent="0.35">
      <c r="A109">
        <v>108</v>
      </c>
      <c r="B109">
        <v>42</v>
      </c>
      <c r="C109" t="s">
        <v>13</v>
      </c>
      <c r="D109">
        <v>5</v>
      </c>
      <c r="E109" t="str">
        <f t="shared" si="6"/>
        <v>Moderate</v>
      </c>
      <c r="F109">
        <f t="shared" si="7"/>
        <v>1</v>
      </c>
      <c r="G109">
        <v>431</v>
      </c>
      <c r="H109" t="str">
        <f t="shared" si="8"/>
        <v>High Spender</v>
      </c>
      <c r="I109">
        <f t="shared" si="9"/>
        <v>4</v>
      </c>
      <c r="J109" t="s">
        <v>12</v>
      </c>
      <c r="K109" t="s">
        <v>18</v>
      </c>
      <c r="L109">
        <f t="shared" si="10"/>
        <v>5</v>
      </c>
      <c r="M109" t="str">
        <f t="shared" si="11"/>
        <v>High Value</v>
      </c>
    </row>
    <row r="110" spans="1:13" x14ac:dyDescent="0.35">
      <c r="A110">
        <v>109</v>
      </c>
      <c r="B110">
        <v>65</v>
      </c>
      <c r="C110" t="s">
        <v>14</v>
      </c>
      <c r="D110">
        <v>12</v>
      </c>
      <c r="E110" t="str">
        <f t="shared" si="6"/>
        <v>Frequent</v>
      </c>
      <c r="F110">
        <f t="shared" si="7"/>
        <v>2</v>
      </c>
      <c r="G110">
        <v>25</v>
      </c>
      <c r="H110" t="str">
        <f t="shared" si="8"/>
        <v>Low Spender</v>
      </c>
      <c r="I110">
        <f t="shared" si="9"/>
        <v>1</v>
      </c>
      <c r="J110" t="s">
        <v>16</v>
      </c>
      <c r="K110" t="s">
        <v>11</v>
      </c>
      <c r="L110">
        <f t="shared" si="10"/>
        <v>3</v>
      </c>
      <c r="M110" t="str">
        <f t="shared" si="11"/>
        <v>Medium</v>
      </c>
    </row>
    <row r="111" spans="1:13" x14ac:dyDescent="0.35">
      <c r="A111">
        <v>110</v>
      </c>
      <c r="B111">
        <v>18</v>
      </c>
      <c r="C111" t="s">
        <v>14</v>
      </c>
      <c r="D111">
        <v>8</v>
      </c>
      <c r="E111" t="str">
        <f t="shared" si="6"/>
        <v>Frequent</v>
      </c>
      <c r="F111">
        <f t="shared" si="7"/>
        <v>2</v>
      </c>
      <c r="G111">
        <v>411</v>
      </c>
      <c r="H111" t="str">
        <f t="shared" si="8"/>
        <v>High Spender</v>
      </c>
      <c r="I111">
        <f t="shared" si="9"/>
        <v>4</v>
      </c>
      <c r="J111" t="s">
        <v>18</v>
      </c>
      <c r="K111" t="s">
        <v>18</v>
      </c>
      <c r="L111">
        <f t="shared" si="10"/>
        <v>6</v>
      </c>
      <c r="M111" t="str">
        <f t="shared" si="11"/>
        <v>High Value</v>
      </c>
    </row>
    <row r="112" spans="1:13" x14ac:dyDescent="0.35">
      <c r="A112">
        <v>111</v>
      </c>
      <c r="B112">
        <v>70</v>
      </c>
      <c r="C112" t="s">
        <v>14</v>
      </c>
      <c r="D112">
        <v>21</v>
      </c>
      <c r="E112" t="str">
        <f t="shared" si="6"/>
        <v>Frequent</v>
      </c>
      <c r="F112">
        <f t="shared" si="7"/>
        <v>2</v>
      </c>
      <c r="G112">
        <v>623</v>
      </c>
      <c r="H112" t="str">
        <f t="shared" si="8"/>
        <v>High Spender</v>
      </c>
      <c r="I112">
        <f t="shared" si="9"/>
        <v>4</v>
      </c>
      <c r="J112" t="s">
        <v>16</v>
      </c>
      <c r="K112" t="s">
        <v>18</v>
      </c>
      <c r="L112">
        <f t="shared" si="10"/>
        <v>6</v>
      </c>
      <c r="M112" t="str">
        <f t="shared" si="11"/>
        <v>High Value</v>
      </c>
    </row>
    <row r="113" spans="1:13" x14ac:dyDescent="0.35">
      <c r="A113">
        <v>112</v>
      </c>
      <c r="B113">
        <v>63</v>
      </c>
      <c r="C113" t="s">
        <v>13</v>
      </c>
      <c r="D113">
        <v>14</v>
      </c>
      <c r="E113" t="str">
        <f t="shared" si="6"/>
        <v>Frequent</v>
      </c>
      <c r="F113">
        <f t="shared" si="7"/>
        <v>2</v>
      </c>
      <c r="G113">
        <v>340</v>
      </c>
      <c r="H113" t="str">
        <f t="shared" si="8"/>
        <v>High Spender</v>
      </c>
      <c r="I113">
        <f t="shared" si="9"/>
        <v>4</v>
      </c>
      <c r="J113" t="s">
        <v>9</v>
      </c>
      <c r="K113" t="s">
        <v>15</v>
      </c>
      <c r="L113">
        <f t="shared" si="10"/>
        <v>6</v>
      </c>
      <c r="M113" t="str">
        <f t="shared" si="11"/>
        <v>High Value</v>
      </c>
    </row>
    <row r="114" spans="1:13" x14ac:dyDescent="0.35">
      <c r="A114">
        <v>113</v>
      </c>
      <c r="B114">
        <v>32</v>
      </c>
      <c r="C114" t="s">
        <v>13</v>
      </c>
      <c r="D114">
        <v>13</v>
      </c>
      <c r="E114" t="str">
        <f t="shared" si="6"/>
        <v>Frequent</v>
      </c>
      <c r="F114">
        <f t="shared" si="7"/>
        <v>2</v>
      </c>
      <c r="G114">
        <v>121</v>
      </c>
      <c r="H114" t="str">
        <f t="shared" si="8"/>
        <v>Medium Spender</v>
      </c>
      <c r="I114">
        <f t="shared" si="9"/>
        <v>2</v>
      </c>
      <c r="J114" t="s">
        <v>12</v>
      </c>
      <c r="K114" t="s">
        <v>18</v>
      </c>
      <c r="L114">
        <f t="shared" si="10"/>
        <v>4</v>
      </c>
      <c r="M114" t="str">
        <f t="shared" si="11"/>
        <v>Medium</v>
      </c>
    </row>
    <row r="115" spans="1:13" x14ac:dyDescent="0.35">
      <c r="A115">
        <v>114</v>
      </c>
      <c r="B115">
        <v>26</v>
      </c>
      <c r="C115" t="s">
        <v>13</v>
      </c>
      <c r="D115">
        <v>23</v>
      </c>
      <c r="E115" t="str">
        <f t="shared" si="6"/>
        <v>Frequent</v>
      </c>
      <c r="F115">
        <f t="shared" si="7"/>
        <v>2</v>
      </c>
      <c r="G115">
        <v>128</v>
      </c>
      <c r="H115" t="str">
        <f t="shared" si="8"/>
        <v>Medium Spender</v>
      </c>
      <c r="I115">
        <f t="shared" si="9"/>
        <v>2</v>
      </c>
      <c r="J115" t="s">
        <v>18</v>
      </c>
      <c r="K115" t="s">
        <v>18</v>
      </c>
      <c r="L115">
        <f t="shared" si="10"/>
        <v>4</v>
      </c>
      <c r="M115" t="str">
        <f t="shared" si="11"/>
        <v>Medium</v>
      </c>
    </row>
    <row r="116" spans="1:13" x14ac:dyDescent="0.35">
      <c r="A116">
        <v>115</v>
      </c>
      <c r="B116">
        <v>32</v>
      </c>
      <c r="C116" t="s">
        <v>13</v>
      </c>
      <c r="D116">
        <v>6</v>
      </c>
      <c r="E116" t="str">
        <f t="shared" si="6"/>
        <v>Frequent</v>
      </c>
      <c r="F116">
        <f t="shared" si="7"/>
        <v>2</v>
      </c>
      <c r="G116">
        <v>403</v>
      </c>
      <c r="H116" t="str">
        <f t="shared" si="8"/>
        <v>High Spender</v>
      </c>
      <c r="I116">
        <f t="shared" si="9"/>
        <v>4</v>
      </c>
      <c r="J116" t="s">
        <v>16</v>
      </c>
      <c r="K116" t="s">
        <v>15</v>
      </c>
      <c r="L116">
        <f t="shared" si="10"/>
        <v>6</v>
      </c>
      <c r="M116" t="str">
        <f t="shared" si="11"/>
        <v>High Value</v>
      </c>
    </row>
    <row r="117" spans="1:13" x14ac:dyDescent="0.35">
      <c r="A117">
        <v>116</v>
      </c>
      <c r="B117">
        <v>66</v>
      </c>
      <c r="C117" t="s">
        <v>14</v>
      </c>
      <c r="D117">
        <v>24</v>
      </c>
      <c r="E117" t="str">
        <f t="shared" si="6"/>
        <v>Frequent</v>
      </c>
      <c r="F117">
        <f t="shared" si="7"/>
        <v>2</v>
      </c>
      <c r="G117">
        <v>797</v>
      </c>
      <c r="H117" t="str">
        <f t="shared" si="8"/>
        <v>High Spender</v>
      </c>
      <c r="I117">
        <f t="shared" si="9"/>
        <v>4</v>
      </c>
      <c r="J117" t="s">
        <v>7</v>
      </c>
      <c r="K117" t="s">
        <v>11</v>
      </c>
      <c r="L117">
        <f t="shared" si="10"/>
        <v>6</v>
      </c>
      <c r="M117" t="str">
        <f t="shared" si="11"/>
        <v>High Value</v>
      </c>
    </row>
    <row r="118" spans="1:13" x14ac:dyDescent="0.35">
      <c r="A118">
        <v>117</v>
      </c>
      <c r="B118">
        <v>74</v>
      </c>
      <c r="C118" t="s">
        <v>14</v>
      </c>
      <c r="D118">
        <v>19</v>
      </c>
      <c r="E118" t="str">
        <f t="shared" si="6"/>
        <v>Frequent</v>
      </c>
      <c r="F118">
        <f t="shared" si="7"/>
        <v>2</v>
      </c>
      <c r="G118">
        <v>719</v>
      </c>
      <c r="H118" t="str">
        <f t="shared" si="8"/>
        <v>High Spender</v>
      </c>
      <c r="I118">
        <f t="shared" si="9"/>
        <v>4</v>
      </c>
      <c r="J118" t="s">
        <v>18</v>
      </c>
      <c r="K118" t="s">
        <v>15</v>
      </c>
      <c r="L118">
        <f t="shared" si="10"/>
        <v>6</v>
      </c>
      <c r="M118" t="str">
        <f t="shared" si="11"/>
        <v>High Value</v>
      </c>
    </row>
    <row r="119" spans="1:13" x14ac:dyDescent="0.35">
      <c r="A119">
        <v>118</v>
      </c>
      <c r="B119">
        <v>41</v>
      </c>
      <c r="C119" t="s">
        <v>18</v>
      </c>
      <c r="D119">
        <v>1</v>
      </c>
      <c r="E119" t="str">
        <f t="shared" si="6"/>
        <v>Low</v>
      </c>
      <c r="F119">
        <f t="shared" si="7"/>
        <v>0</v>
      </c>
      <c r="G119">
        <v>55</v>
      </c>
      <c r="H119" t="str">
        <f t="shared" si="8"/>
        <v>Low Spender</v>
      </c>
      <c r="I119">
        <f t="shared" si="9"/>
        <v>1</v>
      </c>
      <c r="J119" t="s">
        <v>9</v>
      </c>
      <c r="K119" t="s">
        <v>18</v>
      </c>
      <c r="L119">
        <f t="shared" si="10"/>
        <v>1</v>
      </c>
      <c r="M119" t="str">
        <f t="shared" si="11"/>
        <v>Low</v>
      </c>
    </row>
    <row r="120" spans="1:13" x14ac:dyDescent="0.35">
      <c r="A120">
        <v>119</v>
      </c>
      <c r="B120">
        <v>21</v>
      </c>
      <c r="C120" t="s">
        <v>18</v>
      </c>
      <c r="D120">
        <v>6</v>
      </c>
      <c r="E120" t="str">
        <f t="shared" si="6"/>
        <v>Frequent</v>
      </c>
      <c r="F120">
        <f t="shared" si="7"/>
        <v>2</v>
      </c>
      <c r="G120">
        <v>787</v>
      </c>
      <c r="H120" t="str">
        <f t="shared" si="8"/>
        <v>High Spender</v>
      </c>
      <c r="I120">
        <f t="shared" si="9"/>
        <v>4</v>
      </c>
      <c r="J120" t="s">
        <v>12</v>
      </c>
      <c r="K120" t="s">
        <v>11</v>
      </c>
      <c r="L120">
        <f t="shared" si="10"/>
        <v>6</v>
      </c>
      <c r="M120" t="str">
        <f t="shared" si="11"/>
        <v>High Value</v>
      </c>
    </row>
    <row r="121" spans="1:13" x14ac:dyDescent="0.35">
      <c r="A121">
        <v>120</v>
      </c>
      <c r="B121">
        <v>29</v>
      </c>
      <c r="C121" t="s">
        <v>18</v>
      </c>
      <c r="D121">
        <v>5</v>
      </c>
      <c r="E121" t="str">
        <f t="shared" si="6"/>
        <v>Moderate</v>
      </c>
      <c r="F121">
        <f t="shared" si="7"/>
        <v>1</v>
      </c>
      <c r="G121">
        <v>328</v>
      </c>
      <c r="H121" t="str">
        <f t="shared" si="8"/>
        <v>High Spender</v>
      </c>
      <c r="I121">
        <f t="shared" si="9"/>
        <v>4</v>
      </c>
      <c r="J121" t="s">
        <v>9</v>
      </c>
      <c r="K121" t="s">
        <v>11</v>
      </c>
      <c r="L121">
        <f t="shared" si="10"/>
        <v>5</v>
      </c>
      <c r="M121" t="str">
        <f t="shared" si="11"/>
        <v>High Value</v>
      </c>
    </row>
    <row r="122" spans="1:13" x14ac:dyDescent="0.35">
      <c r="A122">
        <v>121</v>
      </c>
      <c r="B122" t="s">
        <v>17</v>
      </c>
      <c r="C122" t="s">
        <v>13</v>
      </c>
      <c r="D122">
        <v>16</v>
      </c>
      <c r="E122" t="str">
        <f t="shared" si="6"/>
        <v>Frequent</v>
      </c>
      <c r="F122">
        <f t="shared" si="7"/>
        <v>2</v>
      </c>
      <c r="G122">
        <v>793</v>
      </c>
      <c r="H122" t="str">
        <f t="shared" si="8"/>
        <v>High Spender</v>
      </c>
      <c r="I122">
        <f t="shared" si="9"/>
        <v>4</v>
      </c>
      <c r="J122" t="s">
        <v>7</v>
      </c>
      <c r="K122" t="s">
        <v>15</v>
      </c>
      <c r="L122">
        <f t="shared" si="10"/>
        <v>6</v>
      </c>
      <c r="M122" t="str">
        <f t="shared" si="11"/>
        <v>High Value</v>
      </c>
    </row>
    <row r="123" spans="1:13" x14ac:dyDescent="0.35">
      <c r="A123">
        <v>122</v>
      </c>
      <c r="B123" t="s">
        <v>17</v>
      </c>
      <c r="C123" t="s">
        <v>14</v>
      </c>
      <c r="D123">
        <v>20</v>
      </c>
      <c r="E123" t="str">
        <f t="shared" si="6"/>
        <v>Frequent</v>
      </c>
      <c r="F123">
        <f t="shared" si="7"/>
        <v>2</v>
      </c>
      <c r="G123">
        <v>145</v>
      </c>
      <c r="H123" t="str">
        <f t="shared" si="8"/>
        <v>Medium Spender</v>
      </c>
      <c r="I123">
        <f t="shared" si="9"/>
        <v>2</v>
      </c>
      <c r="J123" t="s">
        <v>12</v>
      </c>
      <c r="K123" t="s">
        <v>18</v>
      </c>
      <c r="L123">
        <f t="shared" si="10"/>
        <v>4</v>
      </c>
      <c r="M123" t="str">
        <f t="shared" si="11"/>
        <v>Medium</v>
      </c>
    </row>
    <row r="124" spans="1:13" x14ac:dyDescent="0.35">
      <c r="A124">
        <v>123</v>
      </c>
      <c r="B124">
        <v>54</v>
      </c>
      <c r="C124" t="s">
        <v>13</v>
      </c>
      <c r="D124">
        <v>24</v>
      </c>
      <c r="E124" t="str">
        <f t="shared" si="6"/>
        <v>Frequent</v>
      </c>
      <c r="F124">
        <f t="shared" si="7"/>
        <v>2</v>
      </c>
      <c r="G124">
        <v>474</v>
      </c>
      <c r="H124" t="str">
        <f t="shared" si="8"/>
        <v>High Spender</v>
      </c>
      <c r="I124">
        <f t="shared" si="9"/>
        <v>4</v>
      </c>
      <c r="J124" t="s">
        <v>9</v>
      </c>
      <c r="K124" t="s">
        <v>18</v>
      </c>
      <c r="L124">
        <f t="shared" si="10"/>
        <v>6</v>
      </c>
      <c r="M124" t="str">
        <f t="shared" si="11"/>
        <v>High Value</v>
      </c>
    </row>
    <row r="125" spans="1:13" x14ac:dyDescent="0.35">
      <c r="A125">
        <v>124</v>
      </c>
      <c r="B125">
        <v>54</v>
      </c>
      <c r="C125" t="s">
        <v>13</v>
      </c>
      <c r="D125">
        <v>24</v>
      </c>
      <c r="E125" t="str">
        <f t="shared" si="6"/>
        <v>Frequent</v>
      </c>
      <c r="F125">
        <f t="shared" si="7"/>
        <v>2</v>
      </c>
      <c r="G125">
        <v>791</v>
      </c>
      <c r="H125" t="str">
        <f t="shared" si="8"/>
        <v>High Spender</v>
      </c>
      <c r="I125">
        <f t="shared" si="9"/>
        <v>4</v>
      </c>
      <c r="J125" t="s">
        <v>10</v>
      </c>
      <c r="K125" t="s">
        <v>18</v>
      </c>
      <c r="L125">
        <f t="shared" si="10"/>
        <v>6</v>
      </c>
      <c r="M125" t="str">
        <f t="shared" si="11"/>
        <v>High Value</v>
      </c>
    </row>
    <row r="126" spans="1:13" x14ac:dyDescent="0.35">
      <c r="A126">
        <v>125</v>
      </c>
      <c r="B126">
        <v>60</v>
      </c>
      <c r="C126" t="s">
        <v>18</v>
      </c>
      <c r="D126">
        <v>1</v>
      </c>
      <c r="E126" t="str">
        <f t="shared" si="6"/>
        <v>Low</v>
      </c>
      <c r="F126">
        <f t="shared" si="7"/>
        <v>0</v>
      </c>
      <c r="G126">
        <v>338</v>
      </c>
      <c r="H126" t="str">
        <f t="shared" si="8"/>
        <v>High Spender</v>
      </c>
      <c r="I126">
        <f t="shared" si="9"/>
        <v>4</v>
      </c>
      <c r="J126" t="s">
        <v>7</v>
      </c>
      <c r="K126" t="s">
        <v>8</v>
      </c>
      <c r="L126">
        <f t="shared" si="10"/>
        <v>4</v>
      </c>
      <c r="M126" t="str">
        <f t="shared" si="11"/>
        <v>Medium</v>
      </c>
    </row>
    <row r="127" spans="1:13" x14ac:dyDescent="0.35">
      <c r="A127">
        <v>126</v>
      </c>
      <c r="B127" t="s">
        <v>17</v>
      </c>
      <c r="C127" t="s">
        <v>13</v>
      </c>
      <c r="D127">
        <v>2</v>
      </c>
      <c r="E127" t="str">
        <f t="shared" si="6"/>
        <v>Low</v>
      </c>
      <c r="F127">
        <f t="shared" si="7"/>
        <v>0</v>
      </c>
      <c r="G127">
        <v>377</v>
      </c>
      <c r="H127" t="str">
        <f t="shared" si="8"/>
        <v>High Spender</v>
      </c>
      <c r="I127">
        <f t="shared" si="9"/>
        <v>4</v>
      </c>
      <c r="J127" t="s">
        <v>7</v>
      </c>
      <c r="K127" t="s">
        <v>18</v>
      </c>
      <c r="L127">
        <f t="shared" si="10"/>
        <v>4</v>
      </c>
      <c r="M127" t="str">
        <f t="shared" si="11"/>
        <v>Medium</v>
      </c>
    </row>
    <row r="128" spans="1:13" x14ac:dyDescent="0.35">
      <c r="A128">
        <v>127</v>
      </c>
      <c r="B128">
        <v>23</v>
      </c>
      <c r="C128" t="s">
        <v>13</v>
      </c>
      <c r="D128">
        <v>4</v>
      </c>
      <c r="E128" t="str">
        <f t="shared" si="6"/>
        <v>Moderate</v>
      </c>
      <c r="F128">
        <f t="shared" si="7"/>
        <v>1</v>
      </c>
      <c r="G128">
        <v>568</v>
      </c>
      <c r="H128" t="str">
        <f t="shared" si="8"/>
        <v>High Spender</v>
      </c>
      <c r="I128">
        <f t="shared" si="9"/>
        <v>4</v>
      </c>
      <c r="J128" t="s">
        <v>7</v>
      </c>
      <c r="K128" t="s">
        <v>11</v>
      </c>
      <c r="L128">
        <f t="shared" si="10"/>
        <v>5</v>
      </c>
      <c r="M128" t="str">
        <f t="shared" si="11"/>
        <v>High Value</v>
      </c>
    </row>
    <row r="129" spans="1:13" x14ac:dyDescent="0.35">
      <c r="A129">
        <v>128</v>
      </c>
      <c r="B129">
        <v>56</v>
      </c>
      <c r="C129" t="s">
        <v>13</v>
      </c>
      <c r="D129">
        <v>4</v>
      </c>
      <c r="E129" t="str">
        <f t="shared" si="6"/>
        <v>Moderate</v>
      </c>
      <c r="F129">
        <f t="shared" si="7"/>
        <v>1</v>
      </c>
      <c r="G129">
        <v>498</v>
      </c>
      <c r="H129" t="str">
        <f t="shared" si="8"/>
        <v>High Spender</v>
      </c>
      <c r="I129">
        <f t="shared" si="9"/>
        <v>4</v>
      </c>
      <c r="J129" t="s">
        <v>10</v>
      </c>
      <c r="K129" t="s">
        <v>18</v>
      </c>
      <c r="L129">
        <f t="shared" si="10"/>
        <v>5</v>
      </c>
      <c r="M129" t="str">
        <f t="shared" si="11"/>
        <v>High Value</v>
      </c>
    </row>
    <row r="130" spans="1:13" x14ac:dyDescent="0.35">
      <c r="A130">
        <v>129</v>
      </c>
      <c r="B130">
        <v>73</v>
      </c>
      <c r="C130" t="s">
        <v>14</v>
      </c>
      <c r="D130">
        <v>0</v>
      </c>
      <c r="E130" t="str">
        <f t="shared" si="6"/>
        <v>Inactive</v>
      </c>
      <c r="F130">
        <f t="shared" si="7"/>
        <v>0</v>
      </c>
      <c r="G130">
        <v>543</v>
      </c>
      <c r="H130" t="str">
        <f t="shared" si="8"/>
        <v>High Spender</v>
      </c>
      <c r="I130">
        <f t="shared" si="9"/>
        <v>4</v>
      </c>
      <c r="J130" t="s">
        <v>10</v>
      </c>
      <c r="K130" t="s">
        <v>11</v>
      </c>
      <c r="L130">
        <f t="shared" si="10"/>
        <v>4</v>
      </c>
      <c r="M130" t="str">
        <f t="shared" si="11"/>
        <v>Medium</v>
      </c>
    </row>
    <row r="131" spans="1:13" x14ac:dyDescent="0.35">
      <c r="A131">
        <v>130</v>
      </c>
      <c r="B131">
        <v>63</v>
      </c>
      <c r="C131" t="s">
        <v>14</v>
      </c>
      <c r="D131">
        <v>7</v>
      </c>
      <c r="E131" t="str">
        <f t="shared" ref="E131:E194" si="12">IF(D131=0,"Inactive",IF(D131&lt;=2,"Low",IF(D131&lt;=5,"Moderate","Frequent")))</f>
        <v>Frequent</v>
      </c>
      <c r="F131">
        <f t="shared" ref="F131:F194" si="13">IF(E131="Inactive",0,IF(E131="Frequent",2,IF(E131="Moderate",1,0)))</f>
        <v>2</v>
      </c>
      <c r="G131">
        <v>673</v>
      </c>
      <c r="H131" t="str">
        <f t="shared" ref="H131:H194" si="14">IF(G131&lt;=100,"Low Spender",IF(G131&lt;=300,"Medium Spender","High Spender"))</f>
        <v>High Spender</v>
      </c>
      <c r="I131">
        <f t="shared" ref="I131:I194" si="15">IF(H131="High Spender",4,IF(H131="Medium Spender",2,1))</f>
        <v>4</v>
      </c>
      <c r="J131" t="s">
        <v>16</v>
      </c>
      <c r="K131" t="s">
        <v>11</v>
      </c>
      <c r="L131">
        <f t="shared" ref="L131:L194" si="16">F131+I131</f>
        <v>6</v>
      </c>
      <c r="M131" t="str">
        <f t="shared" ref="M131:M194" si="17">IF(L131&lt;=2,"Low",IF(L131&lt;=4,"Medium","High Value"))</f>
        <v>High Value</v>
      </c>
    </row>
    <row r="132" spans="1:13" x14ac:dyDescent="0.35">
      <c r="A132">
        <v>131</v>
      </c>
      <c r="B132">
        <v>41</v>
      </c>
      <c r="C132" t="s">
        <v>14</v>
      </c>
      <c r="D132">
        <v>11</v>
      </c>
      <c r="E132" t="str">
        <f t="shared" si="12"/>
        <v>Frequent</v>
      </c>
      <c r="F132">
        <f t="shared" si="13"/>
        <v>2</v>
      </c>
      <c r="G132">
        <v>755</v>
      </c>
      <c r="H132" t="str">
        <f t="shared" si="14"/>
        <v>High Spender</v>
      </c>
      <c r="I132">
        <f t="shared" si="15"/>
        <v>4</v>
      </c>
      <c r="J132" t="s">
        <v>18</v>
      </c>
      <c r="K132" t="s">
        <v>18</v>
      </c>
      <c r="L132">
        <f t="shared" si="16"/>
        <v>6</v>
      </c>
      <c r="M132" t="str">
        <f t="shared" si="17"/>
        <v>High Value</v>
      </c>
    </row>
    <row r="133" spans="1:13" x14ac:dyDescent="0.35">
      <c r="A133">
        <v>132</v>
      </c>
      <c r="B133">
        <v>28</v>
      </c>
      <c r="C133" t="s">
        <v>18</v>
      </c>
      <c r="D133">
        <v>23</v>
      </c>
      <c r="E133" t="str">
        <f t="shared" si="12"/>
        <v>Frequent</v>
      </c>
      <c r="F133">
        <f t="shared" si="13"/>
        <v>2</v>
      </c>
      <c r="G133">
        <v>160</v>
      </c>
      <c r="H133" t="str">
        <f t="shared" si="14"/>
        <v>Medium Spender</v>
      </c>
      <c r="I133">
        <f t="shared" si="15"/>
        <v>2</v>
      </c>
      <c r="J133" t="s">
        <v>18</v>
      </c>
      <c r="K133" t="s">
        <v>11</v>
      </c>
      <c r="L133">
        <f t="shared" si="16"/>
        <v>4</v>
      </c>
      <c r="M133" t="str">
        <f t="shared" si="17"/>
        <v>Medium</v>
      </c>
    </row>
    <row r="134" spans="1:13" x14ac:dyDescent="0.35">
      <c r="A134">
        <v>133</v>
      </c>
      <c r="B134">
        <v>30</v>
      </c>
      <c r="C134" t="s">
        <v>13</v>
      </c>
      <c r="D134">
        <v>3</v>
      </c>
      <c r="E134" t="str">
        <f t="shared" si="12"/>
        <v>Moderate</v>
      </c>
      <c r="F134">
        <f t="shared" si="13"/>
        <v>1</v>
      </c>
      <c r="G134">
        <v>295</v>
      </c>
      <c r="H134" t="str">
        <f t="shared" si="14"/>
        <v>Medium Spender</v>
      </c>
      <c r="I134">
        <f t="shared" si="15"/>
        <v>2</v>
      </c>
      <c r="J134" t="s">
        <v>9</v>
      </c>
      <c r="K134" t="s">
        <v>11</v>
      </c>
      <c r="L134">
        <f t="shared" si="16"/>
        <v>3</v>
      </c>
      <c r="M134" t="str">
        <f t="shared" si="17"/>
        <v>Medium</v>
      </c>
    </row>
    <row r="135" spans="1:13" x14ac:dyDescent="0.35">
      <c r="A135">
        <v>134</v>
      </c>
      <c r="B135">
        <v>51</v>
      </c>
      <c r="C135" t="s">
        <v>13</v>
      </c>
      <c r="D135">
        <v>12</v>
      </c>
      <c r="E135" t="str">
        <f t="shared" si="12"/>
        <v>Frequent</v>
      </c>
      <c r="F135">
        <f t="shared" si="13"/>
        <v>2</v>
      </c>
      <c r="G135">
        <v>652</v>
      </c>
      <c r="H135" t="str">
        <f t="shared" si="14"/>
        <v>High Spender</v>
      </c>
      <c r="I135">
        <f t="shared" si="15"/>
        <v>4</v>
      </c>
      <c r="J135" t="s">
        <v>16</v>
      </c>
      <c r="K135" t="s">
        <v>8</v>
      </c>
      <c r="L135">
        <f t="shared" si="16"/>
        <v>6</v>
      </c>
      <c r="M135" t="str">
        <f t="shared" si="17"/>
        <v>High Value</v>
      </c>
    </row>
    <row r="136" spans="1:13" x14ac:dyDescent="0.35">
      <c r="A136">
        <v>135</v>
      </c>
      <c r="B136">
        <v>42</v>
      </c>
      <c r="C136" t="s">
        <v>13</v>
      </c>
      <c r="D136">
        <v>22</v>
      </c>
      <c r="E136" t="str">
        <f t="shared" si="12"/>
        <v>Frequent</v>
      </c>
      <c r="F136">
        <f t="shared" si="13"/>
        <v>2</v>
      </c>
      <c r="G136">
        <v>148</v>
      </c>
      <c r="H136" t="str">
        <f t="shared" si="14"/>
        <v>Medium Spender</v>
      </c>
      <c r="I136">
        <f t="shared" si="15"/>
        <v>2</v>
      </c>
      <c r="J136" t="s">
        <v>9</v>
      </c>
      <c r="K136" t="s">
        <v>18</v>
      </c>
      <c r="L136">
        <f t="shared" si="16"/>
        <v>4</v>
      </c>
      <c r="M136" t="str">
        <f t="shared" si="17"/>
        <v>Medium</v>
      </c>
    </row>
    <row r="137" spans="1:13" x14ac:dyDescent="0.35">
      <c r="A137">
        <v>136</v>
      </c>
      <c r="B137">
        <v>24</v>
      </c>
      <c r="C137" t="s">
        <v>14</v>
      </c>
      <c r="D137">
        <v>14</v>
      </c>
      <c r="E137" t="str">
        <f t="shared" si="12"/>
        <v>Frequent</v>
      </c>
      <c r="F137">
        <f t="shared" si="13"/>
        <v>2</v>
      </c>
      <c r="G137">
        <v>110</v>
      </c>
      <c r="H137" t="str">
        <f t="shared" si="14"/>
        <v>Medium Spender</v>
      </c>
      <c r="I137">
        <f t="shared" si="15"/>
        <v>2</v>
      </c>
      <c r="J137" t="s">
        <v>18</v>
      </c>
      <c r="K137" t="s">
        <v>18</v>
      </c>
      <c r="L137">
        <f t="shared" si="16"/>
        <v>4</v>
      </c>
      <c r="M137" t="str">
        <f t="shared" si="17"/>
        <v>Medium</v>
      </c>
    </row>
    <row r="138" spans="1:13" x14ac:dyDescent="0.35">
      <c r="A138">
        <v>137</v>
      </c>
      <c r="B138">
        <v>69</v>
      </c>
      <c r="C138" t="s">
        <v>14</v>
      </c>
      <c r="D138">
        <v>10</v>
      </c>
      <c r="E138" t="str">
        <f t="shared" si="12"/>
        <v>Frequent</v>
      </c>
      <c r="F138">
        <f t="shared" si="13"/>
        <v>2</v>
      </c>
      <c r="G138">
        <v>424</v>
      </c>
      <c r="H138" t="str">
        <f t="shared" si="14"/>
        <v>High Spender</v>
      </c>
      <c r="I138">
        <f t="shared" si="15"/>
        <v>4</v>
      </c>
      <c r="J138" t="s">
        <v>18</v>
      </c>
      <c r="K138" t="s">
        <v>8</v>
      </c>
      <c r="L138">
        <f t="shared" si="16"/>
        <v>6</v>
      </c>
      <c r="M138" t="str">
        <f t="shared" si="17"/>
        <v>High Value</v>
      </c>
    </row>
    <row r="139" spans="1:13" x14ac:dyDescent="0.35">
      <c r="A139">
        <v>138</v>
      </c>
      <c r="B139">
        <v>21</v>
      </c>
      <c r="C139" t="s">
        <v>14</v>
      </c>
      <c r="D139">
        <v>9</v>
      </c>
      <c r="E139" t="str">
        <f t="shared" si="12"/>
        <v>Frequent</v>
      </c>
      <c r="F139">
        <f t="shared" si="13"/>
        <v>2</v>
      </c>
      <c r="G139">
        <v>674</v>
      </c>
      <c r="H139" t="str">
        <f t="shared" si="14"/>
        <v>High Spender</v>
      </c>
      <c r="I139">
        <f t="shared" si="15"/>
        <v>4</v>
      </c>
      <c r="J139" t="s">
        <v>10</v>
      </c>
      <c r="K139" t="s">
        <v>18</v>
      </c>
      <c r="L139">
        <f t="shared" si="16"/>
        <v>6</v>
      </c>
      <c r="M139" t="str">
        <f t="shared" si="17"/>
        <v>High Value</v>
      </c>
    </row>
    <row r="140" spans="1:13" x14ac:dyDescent="0.35">
      <c r="A140">
        <v>139</v>
      </c>
      <c r="B140" t="s">
        <v>17</v>
      </c>
      <c r="C140" t="s">
        <v>13</v>
      </c>
      <c r="D140">
        <v>2</v>
      </c>
      <c r="E140" t="str">
        <f t="shared" si="12"/>
        <v>Low</v>
      </c>
      <c r="F140">
        <f t="shared" si="13"/>
        <v>0</v>
      </c>
      <c r="G140">
        <v>662</v>
      </c>
      <c r="H140" t="str">
        <f t="shared" si="14"/>
        <v>High Spender</v>
      </c>
      <c r="I140">
        <f t="shared" si="15"/>
        <v>4</v>
      </c>
      <c r="J140" t="s">
        <v>18</v>
      </c>
      <c r="K140" t="s">
        <v>15</v>
      </c>
      <c r="L140">
        <f t="shared" si="16"/>
        <v>4</v>
      </c>
      <c r="M140" t="str">
        <f t="shared" si="17"/>
        <v>Medium</v>
      </c>
    </row>
    <row r="141" spans="1:13" x14ac:dyDescent="0.35">
      <c r="A141">
        <v>140</v>
      </c>
      <c r="B141">
        <v>25</v>
      </c>
      <c r="C141" t="s">
        <v>14</v>
      </c>
      <c r="D141">
        <v>21</v>
      </c>
      <c r="E141" t="str">
        <f t="shared" si="12"/>
        <v>Frequent</v>
      </c>
      <c r="F141">
        <f t="shared" si="13"/>
        <v>2</v>
      </c>
      <c r="G141">
        <v>6</v>
      </c>
      <c r="H141" t="str">
        <f t="shared" si="14"/>
        <v>Low Spender</v>
      </c>
      <c r="I141">
        <f t="shared" si="15"/>
        <v>1</v>
      </c>
      <c r="J141" t="s">
        <v>10</v>
      </c>
      <c r="K141" t="s">
        <v>15</v>
      </c>
      <c r="L141">
        <f t="shared" si="16"/>
        <v>3</v>
      </c>
      <c r="M141" t="str">
        <f t="shared" si="17"/>
        <v>Medium</v>
      </c>
    </row>
    <row r="142" spans="1:13" x14ac:dyDescent="0.35">
      <c r="A142">
        <v>141</v>
      </c>
      <c r="B142">
        <v>37</v>
      </c>
      <c r="C142" t="s">
        <v>13</v>
      </c>
      <c r="D142">
        <v>13</v>
      </c>
      <c r="E142" t="str">
        <f t="shared" si="12"/>
        <v>Frequent</v>
      </c>
      <c r="F142">
        <f t="shared" si="13"/>
        <v>2</v>
      </c>
      <c r="G142">
        <v>593</v>
      </c>
      <c r="H142" t="str">
        <f t="shared" si="14"/>
        <v>High Spender</v>
      </c>
      <c r="I142">
        <f t="shared" si="15"/>
        <v>4</v>
      </c>
      <c r="J142" t="s">
        <v>18</v>
      </c>
      <c r="K142" t="s">
        <v>15</v>
      </c>
      <c r="L142">
        <f t="shared" si="16"/>
        <v>6</v>
      </c>
      <c r="M142" t="str">
        <f t="shared" si="17"/>
        <v>High Value</v>
      </c>
    </row>
    <row r="143" spans="1:13" x14ac:dyDescent="0.35">
      <c r="A143">
        <v>142</v>
      </c>
      <c r="B143">
        <v>46</v>
      </c>
      <c r="C143" t="s">
        <v>13</v>
      </c>
      <c r="D143">
        <v>15</v>
      </c>
      <c r="E143" t="str">
        <f t="shared" si="12"/>
        <v>Frequent</v>
      </c>
      <c r="F143">
        <f t="shared" si="13"/>
        <v>2</v>
      </c>
      <c r="G143">
        <v>648</v>
      </c>
      <c r="H143" t="str">
        <f t="shared" si="14"/>
        <v>High Spender</v>
      </c>
      <c r="I143">
        <f t="shared" si="15"/>
        <v>4</v>
      </c>
      <c r="J143" t="s">
        <v>18</v>
      </c>
      <c r="K143" t="s">
        <v>8</v>
      </c>
      <c r="L143">
        <f t="shared" si="16"/>
        <v>6</v>
      </c>
      <c r="M143" t="str">
        <f t="shared" si="17"/>
        <v>High Value</v>
      </c>
    </row>
    <row r="144" spans="1:13" x14ac:dyDescent="0.35">
      <c r="A144">
        <v>143</v>
      </c>
      <c r="B144">
        <v>71</v>
      </c>
      <c r="C144" t="s">
        <v>18</v>
      </c>
      <c r="D144">
        <v>9</v>
      </c>
      <c r="E144" t="str">
        <f t="shared" si="12"/>
        <v>Frequent</v>
      </c>
      <c r="F144">
        <f t="shared" si="13"/>
        <v>2</v>
      </c>
      <c r="G144">
        <v>94</v>
      </c>
      <c r="H144" t="str">
        <f t="shared" si="14"/>
        <v>Low Spender</v>
      </c>
      <c r="I144">
        <f t="shared" si="15"/>
        <v>1</v>
      </c>
      <c r="J144" t="s">
        <v>16</v>
      </c>
      <c r="K144" t="s">
        <v>8</v>
      </c>
      <c r="L144">
        <f t="shared" si="16"/>
        <v>3</v>
      </c>
      <c r="M144" t="str">
        <f t="shared" si="17"/>
        <v>Medium</v>
      </c>
    </row>
    <row r="145" spans="1:13" x14ac:dyDescent="0.35">
      <c r="A145">
        <v>144</v>
      </c>
      <c r="B145">
        <v>70</v>
      </c>
      <c r="C145" t="s">
        <v>18</v>
      </c>
      <c r="D145">
        <v>9</v>
      </c>
      <c r="E145" t="str">
        <f t="shared" si="12"/>
        <v>Frequent</v>
      </c>
      <c r="F145">
        <f t="shared" si="13"/>
        <v>2</v>
      </c>
      <c r="G145">
        <v>349</v>
      </c>
      <c r="H145" t="str">
        <f t="shared" si="14"/>
        <v>High Spender</v>
      </c>
      <c r="I145">
        <f t="shared" si="15"/>
        <v>4</v>
      </c>
      <c r="J145" t="s">
        <v>12</v>
      </c>
      <c r="K145" t="s">
        <v>11</v>
      </c>
      <c r="L145">
        <f t="shared" si="16"/>
        <v>6</v>
      </c>
      <c r="M145" t="str">
        <f t="shared" si="17"/>
        <v>High Value</v>
      </c>
    </row>
    <row r="146" spans="1:13" x14ac:dyDescent="0.35">
      <c r="A146">
        <v>145</v>
      </c>
      <c r="B146">
        <v>68</v>
      </c>
      <c r="C146" t="s">
        <v>13</v>
      </c>
      <c r="D146">
        <v>11</v>
      </c>
      <c r="E146" t="str">
        <f t="shared" si="12"/>
        <v>Frequent</v>
      </c>
      <c r="F146">
        <f t="shared" si="13"/>
        <v>2</v>
      </c>
      <c r="G146">
        <v>354</v>
      </c>
      <c r="H146" t="str">
        <f t="shared" si="14"/>
        <v>High Spender</v>
      </c>
      <c r="I146">
        <f t="shared" si="15"/>
        <v>4</v>
      </c>
      <c r="J146" t="s">
        <v>16</v>
      </c>
      <c r="K146" t="s">
        <v>15</v>
      </c>
      <c r="L146">
        <f t="shared" si="16"/>
        <v>6</v>
      </c>
      <c r="M146" t="str">
        <f t="shared" si="17"/>
        <v>High Value</v>
      </c>
    </row>
    <row r="147" spans="1:13" x14ac:dyDescent="0.35">
      <c r="A147">
        <v>146</v>
      </c>
      <c r="B147">
        <v>62</v>
      </c>
      <c r="C147" t="s">
        <v>14</v>
      </c>
      <c r="D147">
        <v>8</v>
      </c>
      <c r="E147" t="str">
        <f t="shared" si="12"/>
        <v>Frequent</v>
      </c>
      <c r="F147">
        <f t="shared" si="13"/>
        <v>2</v>
      </c>
      <c r="G147">
        <v>463</v>
      </c>
      <c r="H147" t="str">
        <f t="shared" si="14"/>
        <v>High Spender</v>
      </c>
      <c r="I147">
        <f t="shared" si="15"/>
        <v>4</v>
      </c>
      <c r="J147" t="s">
        <v>9</v>
      </c>
      <c r="K147" t="s">
        <v>18</v>
      </c>
      <c r="L147">
        <f t="shared" si="16"/>
        <v>6</v>
      </c>
      <c r="M147" t="str">
        <f t="shared" si="17"/>
        <v>High Value</v>
      </c>
    </row>
    <row r="148" spans="1:13" x14ac:dyDescent="0.35">
      <c r="A148">
        <v>147</v>
      </c>
      <c r="B148">
        <v>63</v>
      </c>
      <c r="C148" t="s">
        <v>14</v>
      </c>
      <c r="D148">
        <v>0</v>
      </c>
      <c r="E148" t="str">
        <f t="shared" si="12"/>
        <v>Inactive</v>
      </c>
      <c r="F148">
        <f t="shared" si="13"/>
        <v>0</v>
      </c>
      <c r="G148">
        <v>267</v>
      </c>
      <c r="H148" t="str">
        <f t="shared" si="14"/>
        <v>Medium Spender</v>
      </c>
      <c r="I148">
        <f t="shared" si="15"/>
        <v>2</v>
      </c>
      <c r="J148" t="s">
        <v>16</v>
      </c>
      <c r="K148" t="s">
        <v>18</v>
      </c>
      <c r="L148">
        <f t="shared" si="16"/>
        <v>2</v>
      </c>
      <c r="M148" t="str">
        <f t="shared" si="17"/>
        <v>Low</v>
      </c>
    </row>
    <row r="149" spans="1:13" x14ac:dyDescent="0.35">
      <c r="A149">
        <v>148</v>
      </c>
      <c r="B149">
        <v>27</v>
      </c>
      <c r="C149" t="s">
        <v>13</v>
      </c>
      <c r="D149">
        <v>4</v>
      </c>
      <c r="E149" t="str">
        <f t="shared" si="12"/>
        <v>Moderate</v>
      </c>
      <c r="F149">
        <f t="shared" si="13"/>
        <v>1</v>
      </c>
      <c r="G149">
        <v>355</v>
      </c>
      <c r="H149" t="str">
        <f t="shared" si="14"/>
        <v>High Spender</v>
      </c>
      <c r="I149">
        <f t="shared" si="15"/>
        <v>4</v>
      </c>
      <c r="J149" t="s">
        <v>18</v>
      </c>
      <c r="K149" t="s">
        <v>15</v>
      </c>
      <c r="L149">
        <f t="shared" si="16"/>
        <v>5</v>
      </c>
      <c r="M149" t="str">
        <f t="shared" si="17"/>
        <v>High Value</v>
      </c>
    </row>
    <row r="150" spans="1:13" x14ac:dyDescent="0.35">
      <c r="A150">
        <v>149</v>
      </c>
      <c r="B150">
        <v>60</v>
      </c>
      <c r="C150" t="s">
        <v>18</v>
      </c>
      <c r="D150">
        <v>19</v>
      </c>
      <c r="E150" t="str">
        <f t="shared" si="12"/>
        <v>Frequent</v>
      </c>
      <c r="F150">
        <f t="shared" si="13"/>
        <v>2</v>
      </c>
      <c r="G150">
        <v>112</v>
      </c>
      <c r="H150" t="str">
        <f t="shared" si="14"/>
        <v>Medium Spender</v>
      </c>
      <c r="I150">
        <f t="shared" si="15"/>
        <v>2</v>
      </c>
      <c r="J150" t="s">
        <v>7</v>
      </c>
      <c r="K150" t="s">
        <v>15</v>
      </c>
      <c r="L150">
        <f t="shared" si="16"/>
        <v>4</v>
      </c>
      <c r="M150" t="str">
        <f t="shared" si="17"/>
        <v>Medium</v>
      </c>
    </row>
    <row r="151" spans="1:13" x14ac:dyDescent="0.35">
      <c r="A151">
        <v>150</v>
      </c>
      <c r="B151">
        <v>51</v>
      </c>
      <c r="C151" t="s">
        <v>14</v>
      </c>
      <c r="D151">
        <v>7</v>
      </c>
      <c r="E151" t="str">
        <f t="shared" si="12"/>
        <v>Frequent</v>
      </c>
      <c r="F151">
        <f t="shared" si="13"/>
        <v>2</v>
      </c>
      <c r="G151">
        <v>590</v>
      </c>
      <c r="H151" t="str">
        <f t="shared" si="14"/>
        <v>High Spender</v>
      </c>
      <c r="I151">
        <f t="shared" si="15"/>
        <v>4</v>
      </c>
      <c r="J151" t="s">
        <v>9</v>
      </c>
      <c r="K151" t="s">
        <v>15</v>
      </c>
      <c r="L151">
        <f t="shared" si="16"/>
        <v>6</v>
      </c>
      <c r="M151" t="str">
        <f t="shared" si="17"/>
        <v>High Value</v>
      </c>
    </row>
    <row r="152" spans="1:13" x14ac:dyDescent="0.35">
      <c r="A152">
        <v>151</v>
      </c>
      <c r="B152">
        <v>74</v>
      </c>
      <c r="C152" t="s">
        <v>18</v>
      </c>
      <c r="D152">
        <v>10</v>
      </c>
      <c r="E152" t="str">
        <f t="shared" si="12"/>
        <v>Frequent</v>
      </c>
      <c r="F152">
        <f t="shared" si="13"/>
        <v>2</v>
      </c>
      <c r="G152">
        <v>43</v>
      </c>
      <c r="H152" t="str">
        <f t="shared" si="14"/>
        <v>Low Spender</v>
      </c>
      <c r="I152">
        <f t="shared" si="15"/>
        <v>1</v>
      </c>
      <c r="J152" t="s">
        <v>18</v>
      </c>
      <c r="K152" t="s">
        <v>8</v>
      </c>
      <c r="L152">
        <f t="shared" si="16"/>
        <v>3</v>
      </c>
      <c r="M152" t="str">
        <f t="shared" si="17"/>
        <v>Medium</v>
      </c>
    </row>
    <row r="153" spans="1:13" x14ac:dyDescent="0.35">
      <c r="A153">
        <v>152</v>
      </c>
      <c r="B153">
        <v>43</v>
      </c>
      <c r="C153" t="s">
        <v>14</v>
      </c>
      <c r="D153">
        <v>11</v>
      </c>
      <c r="E153" t="str">
        <f t="shared" si="12"/>
        <v>Frequent</v>
      </c>
      <c r="F153">
        <f t="shared" si="13"/>
        <v>2</v>
      </c>
      <c r="G153">
        <v>163</v>
      </c>
      <c r="H153" t="str">
        <f t="shared" si="14"/>
        <v>Medium Spender</v>
      </c>
      <c r="I153">
        <f t="shared" si="15"/>
        <v>2</v>
      </c>
      <c r="J153" t="s">
        <v>9</v>
      </c>
      <c r="K153" t="s">
        <v>8</v>
      </c>
      <c r="L153">
        <f t="shared" si="16"/>
        <v>4</v>
      </c>
      <c r="M153" t="str">
        <f t="shared" si="17"/>
        <v>Medium</v>
      </c>
    </row>
    <row r="154" spans="1:13" x14ac:dyDescent="0.35">
      <c r="A154">
        <v>153</v>
      </c>
      <c r="B154">
        <v>58</v>
      </c>
      <c r="C154" t="s">
        <v>14</v>
      </c>
      <c r="D154">
        <v>0</v>
      </c>
      <c r="E154" t="str">
        <f t="shared" si="12"/>
        <v>Inactive</v>
      </c>
      <c r="F154">
        <f t="shared" si="13"/>
        <v>0</v>
      </c>
      <c r="G154">
        <v>587</v>
      </c>
      <c r="H154" t="str">
        <f t="shared" si="14"/>
        <v>High Spender</v>
      </c>
      <c r="I154">
        <f t="shared" si="15"/>
        <v>4</v>
      </c>
      <c r="J154" t="s">
        <v>12</v>
      </c>
      <c r="K154" t="s">
        <v>8</v>
      </c>
      <c r="L154">
        <f t="shared" si="16"/>
        <v>4</v>
      </c>
      <c r="M154" t="str">
        <f t="shared" si="17"/>
        <v>Medium</v>
      </c>
    </row>
    <row r="155" spans="1:13" x14ac:dyDescent="0.35">
      <c r="A155">
        <v>154</v>
      </c>
      <c r="B155">
        <v>66</v>
      </c>
      <c r="C155" t="s">
        <v>13</v>
      </c>
      <c r="D155">
        <v>24</v>
      </c>
      <c r="E155" t="str">
        <f t="shared" si="12"/>
        <v>Frequent</v>
      </c>
      <c r="F155">
        <f t="shared" si="13"/>
        <v>2</v>
      </c>
      <c r="G155">
        <v>316</v>
      </c>
      <c r="H155" t="str">
        <f t="shared" si="14"/>
        <v>High Spender</v>
      </c>
      <c r="I155">
        <f t="shared" si="15"/>
        <v>4</v>
      </c>
      <c r="J155" t="s">
        <v>10</v>
      </c>
      <c r="K155" t="s">
        <v>18</v>
      </c>
      <c r="L155">
        <f t="shared" si="16"/>
        <v>6</v>
      </c>
      <c r="M155" t="str">
        <f t="shared" si="17"/>
        <v>High Value</v>
      </c>
    </row>
    <row r="156" spans="1:13" x14ac:dyDescent="0.35">
      <c r="A156">
        <v>155</v>
      </c>
      <c r="B156" t="s">
        <v>17</v>
      </c>
      <c r="C156" t="s">
        <v>14</v>
      </c>
      <c r="D156">
        <v>21</v>
      </c>
      <c r="E156" t="str">
        <f t="shared" si="12"/>
        <v>Frequent</v>
      </c>
      <c r="F156">
        <f t="shared" si="13"/>
        <v>2</v>
      </c>
      <c r="G156">
        <v>245</v>
      </c>
      <c r="H156" t="str">
        <f t="shared" si="14"/>
        <v>Medium Spender</v>
      </c>
      <c r="I156">
        <f t="shared" si="15"/>
        <v>2</v>
      </c>
      <c r="J156" t="s">
        <v>18</v>
      </c>
      <c r="K156" t="s">
        <v>18</v>
      </c>
      <c r="L156">
        <f t="shared" si="16"/>
        <v>4</v>
      </c>
      <c r="M156" t="str">
        <f t="shared" si="17"/>
        <v>Medium</v>
      </c>
    </row>
    <row r="157" spans="1:13" x14ac:dyDescent="0.35">
      <c r="A157">
        <v>156</v>
      </c>
      <c r="B157">
        <v>20</v>
      </c>
      <c r="C157" t="s">
        <v>13</v>
      </c>
      <c r="D157">
        <v>19</v>
      </c>
      <c r="E157" t="str">
        <f t="shared" si="12"/>
        <v>Frequent</v>
      </c>
      <c r="F157">
        <f t="shared" si="13"/>
        <v>2</v>
      </c>
      <c r="G157">
        <v>449</v>
      </c>
      <c r="H157" t="str">
        <f t="shared" si="14"/>
        <v>High Spender</v>
      </c>
      <c r="I157">
        <f t="shared" si="15"/>
        <v>4</v>
      </c>
      <c r="J157" t="s">
        <v>9</v>
      </c>
      <c r="K157" t="s">
        <v>18</v>
      </c>
      <c r="L157">
        <f t="shared" si="16"/>
        <v>6</v>
      </c>
      <c r="M157" t="str">
        <f t="shared" si="17"/>
        <v>High Value</v>
      </c>
    </row>
    <row r="158" spans="1:13" x14ac:dyDescent="0.35">
      <c r="A158">
        <v>157</v>
      </c>
      <c r="B158">
        <v>73</v>
      </c>
      <c r="C158" t="s">
        <v>13</v>
      </c>
      <c r="D158">
        <v>24</v>
      </c>
      <c r="E158" t="str">
        <f t="shared" si="12"/>
        <v>Frequent</v>
      </c>
      <c r="F158">
        <f t="shared" si="13"/>
        <v>2</v>
      </c>
      <c r="G158">
        <v>302</v>
      </c>
      <c r="H158" t="str">
        <f t="shared" si="14"/>
        <v>High Spender</v>
      </c>
      <c r="I158">
        <f t="shared" si="15"/>
        <v>4</v>
      </c>
      <c r="J158" t="s">
        <v>18</v>
      </c>
      <c r="K158" t="s">
        <v>11</v>
      </c>
      <c r="L158">
        <f t="shared" si="16"/>
        <v>6</v>
      </c>
      <c r="M158" t="str">
        <f t="shared" si="17"/>
        <v>High Value</v>
      </c>
    </row>
    <row r="159" spans="1:13" x14ac:dyDescent="0.35">
      <c r="A159">
        <v>158</v>
      </c>
      <c r="B159">
        <v>23</v>
      </c>
      <c r="C159" t="s">
        <v>14</v>
      </c>
      <c r="D159">
        <v>10</v>
      </c>
      <c r="E159" t="str">
        <f t="shared" si="12"/>
        <v>Frequent</v>
      </c>
      <c r="F159">
        <f t="shared" si="13"/>
        <v>2</v>
      </c>
      <c r="G159">
        <v>40</v>
      </c>
      <c r="H159" t="str">
        <f t="shared" si="14"/>
        <v>Low Spender</v>
      </c>
      <c r="I159">
        <f t="shared" si="15"/>
        <v>1</v>
      </c>
      <c r="J159" t="s">
        <v>18</v>
      </c>
      <c r="K159" t="s">
        <v>8</v>
      </c>
      <c r="L159">
        <f t="shared" si="16"/>
        <v>3</v>
      </c>
      <c r="M159" t="str">
        <f t="shared" si="17"/>
        <v>Medium</v>
      </c>
    </row>
    <row r="160" spans="1:13" x14ac:dyDescent="0.35">
      <c r="A160">
        <v>159</v>
      </c>
      <c r="B160">
        <v>22</v>
      </c>
      <c r="C160" t="s">
        <v>14</v>
      </c>
      <c r="D160">
        <v>4</v>
      </c>
      <c r="E160" t="str">
        <f t="shared" si="12"/>
        <v>Moderate</v>
      </c>
      <c r="F160">
        <f t="shared" si="13"/>
        <v>1</v>
      </c>
      <c r="G160">
        <v>88</v>
      </c>
      <c r="H160" t="str">
        <f t="shared" si="14"/>
        <v>Low Spender</v>
      </c>
      <c r="I160">
        <f t="shared" si="15"/>
        <v>1</v>
      </c>
      <c r="J160" t="s">
        <v>18</v>
      </c>
      <c r="K160" t="s">
        <v>18</v>
      </c>
      <c r="L160">
        <f t="shared" si="16"/>
        <v>2</v>
      </c>
      <c r="M160" t="str">
        <f t="shared" si="17"/>
        <v>Low</v>
      </c>
    </row>
    <row r="161" spans="1:13" x14ac:dyDescent="0.35">
      <c r="A161">
        <v>160</v>
      </c>
      <c r="B161">
        <v>22</v>
      </c>
      <c r="C161" t="s">
        <v>14</v>
      </c>
      <c r="D161">
        <v>14</v>
      </c>
      <c r="E161" t="str">
        <f t="shared" si="12"/>
        <v>Frequent</v>
      </c>
      <c r="F161">
        <f t="shared" si="13"/>
        <v>2</v>
      </c>
      <c r="G161">
        <v>456</v>
      </c>
      <c r="H161" t="str">
        <f t="shared" si="14"/>
        <v>High Spender</v>
      </c>
      <c r="I161">
        <f t="shared" si="15"/>
        <v>4</v>
      </c>
      <c r="J161" t="s">
        <v>10</v>
      </c>
      <c r="K161" t="s">
        <v>18</v>
      </c>
      <c r="L161">
        <f t="shared" si="16"/>
        <v>6</v>
      </c>
      <c r="M161" t="str">
        <f t="shared" si="17"/>
        <v>High Value</v>
      </c>
    </row>
    <row r="162" spans="1:13" x14ac:dyDescent="0.35">
      <c r="A162">
        <v>161</v>
      </c>
      <c r="B162">
        <v>71</v>
      </c>
      <c r="C162" t="s">
        <v>13</v>
      </c>
      <c r="D162">
        <v>4</v>
      </c>
      <c r="E162" t="str">
        <f t="shared" si="12"/>
        <v>Moderate</v>
      </c>
      <c r="F162">
        <f t="shared" si="13"/>
        <v>1</v>
      </c>
      <c r="G162">
        <v>779</v>
      </c>
      <c r="H162" t="str">
        <f t="shared" si="14"/>
        <v>High Spender</v>
      </c>
      <c r="I162">
        <f t="shared" si="15"/>
        <v>4</v>
      </c>
      <c r="J162" t="s">
        <v>18</v>
      </c>
      <c r="K162" t="s">
        <v>18</v>
      </c>
      <c r="L162">
        <f t="shared" si="16"/>
        <v>5</v>
      </c>
      <c r="M162" t="str">
        <f t="shared" si="17"/>
        <v>High Value</v>
      </c>
    </row>
    <row r="163" spans="1:13" x14ac:dyDescent="0.35">
      <c r="A163">
        <v>162</v>
      </c>
      <c r="B163">
        <v>64</v>
      </c>
      <c r="C163" t="s">
        <v>13</v>
      </c>
      <c r="D163">
        <v>11</v>
      </c>
      <c r="E163" t="str">
        <f t="shared" si="12"/>
        <v>Frequent</v>
      </c>
      <c r="F163">
        <f t="shared" si="13"/>
        <v>2</v>
      </c>
      <c r="G163">
        <v>389</v>
      </c>
      <c r="H163" t="str">
        <f t="shared" si="14"/>
        <v>High Spender</v>
      </c>
      <c r="I163">
        <f t="shared" si="15"/>
        <v>4</v>
      </c>
      <c r="J163" t="s">
        <v>16</v>
      </c>
      <c r="K163" t="s">
        <v>8</v>
      </c>
      <c r="L163">
        <f t="shared" si="16"/>
        <v>6</v>
      </c>
      <c r="M163" t="str">
        <f t="shared" si="17"/>
        <v>High Value</v>
      </c>
    </row>
    <row r="164" spans="1:13" x14ac:dyDescent="0.35">
      <c r="A164">
        <v>163</v>
      </c>
      <c r="B164">
        <v>40</v>
      </c>
      <c r="C164" t="s">
        <v>14</v>
      </c>
      <c r="D164">
        <v>4</v>
      </c>
      <c r="E164" t="str">
        <f t="shared" si="12"/>
        <v>Moderate</v>
      </c>
      <c r="F164">
        <f t="shared" si="13"/>
        <v>1</v>
      </c>
      <c r="G164">
        <v>176</v>
      </c>
      <c r="H164" t="str">
        <f t="shared" si="14"/>
        <v>Medium Spender</v>
      </c>
      <c r="I164">
        <f t="shared" si="15"/>
        <v>2</v>
      </c>
      <c r="J164" t="s">
        <v>18</v>
      </c>
      <c r="K164" t="s">
        <v>11</v>
      </c>
      <c r="L164">
        <f t="shared" si="16"/>
        <v>3</v>
      </c>
      <c r="M164" t="str">
        <f t="shared" si="17"/>
        <v>Medium</v>
      </c>
    </row>
    <row r="165" spans="1:13" x14ac:dyDescent="0.35">
      <c r="A165">
        <v>164</v>
      </c>
      <c r="B165">
        <v>66</v>
      </c>
      <c r="C165" t="s">
        <v>18</v>
      </c>
      <c r="D165">
        <v>16</v>
      </c>
      <c r="E165" t="str">
        <f t="shared" si="12"/>
        <v>Frequent</v>
      </c>
      <c r="F165">
        <f t="shared" si="13"/>
        <v>2</v>
      </c>
      <c r="G165">
        <v>380</v>
      </c>
      <c r="H165" t="str">
        <f t="shared" si="14"/>
        <v>High Spender</v>
      </c>
      <c r="I165">
        <f t="shared" si="15"/>
        <v>4</v>
      </c>
      <c r="J165" t="s">
        <v>7</v>
      </c>
      <c r="K165" t="s">
        <v>8</v>
      </c>
      <c r="L165">
        <f t="shared" si="16"/>
        <v>6</v>
      </c>
      <c r="M165" t="str">
        <f t="shared" si="17"/>
        <v>High Value</v>
      </c>
    </row>
    <row r="166" spans="1:13" x14ac:dyDescent="0.35">
      <c r="A166">
        <v>165</v>
      </c>
      <c r="B166">
        <v>26</v>
      </c>
      <c r="C166" t="s">
        <v>18</v>
      </c>
      <c r="D166">
        <v>16</v>
      </c>
      <c r="E166" t="str">
        <f t="shared" si="12"/>
        <v>Frequent</v>
      </c>
      <c r="F166">
        <f t="shared" si="13"/>
        <v>2</v>
      </c>
      <c r="G166">
        <v>689</v>
      </c>
      <c r="H166" t="str">
        <f t="shared" si="14"/>
        <v>High Spender</v>
      </c>
      <c r="I166">
        <f t="shared" si="15"/>
        <v>4</v>
      </c>
      <c r="J166" t="s">
        <v>18</v>
      </c>
      <c r="K166" t="s">
        <v>15</v>
      </c>
      <c r="L166">
        <f t="shared" si="16"/>
        <v>6</v>
      </c>
      <c r="M166" t="str">
        <f t="shared" si="17"/>
        <v>High Value</v>
      </c>
    </row>
    <row r="167" spans="1:13" x14ac:dyDescent="0.35">
      <c r="A167">
        <v>166</v>
      </c>
      <c r="B167">
        <v>52</v>
      </c>
      <c r="C167" t="s">
        <v>14</v>
      </c>
      <c r="D167">
        <v>23</v>
      </c>
      <c r="E167" t="str">
        <f t="shared" si="12"/>
        <v>Frequent</v>
      </c>
      <c r="F167">
        <f t="shared" si="13"/>
        <v>2</v>
      </c>
      <c r="G167">
        <v>366</v>
      </c>
      <c r="H167" t="str">
        <f t="shared" si="14"/>
        <v>High Spender</v>
      </c>
      <c r="I167">
        <f t="shared" si="15"/>
        <v>4</v>
      </c>
      <c r="J167" t="s">
        <v>12</v>
      </c>
      <c r="K167" t="s">
        <v>8</v>
      </c>
      <c r="L167">
        <f t="shared" si="16"/>
        <v>6</v>
      </c>
      <c r="M167" t="str">
        <f t="shared" si="17"/>
        <v>High Value</v>
      </c>
    </row>
    <row r="168" spans="1:13" x14ac:dyDescent="0.35">
      <c r="A168">
        <v>167</v>
      </c>
      <c r="B168">
        <v>37</v>
      </c>
      <c r="C168" t="s">
        <v>13</v>
      </c>
      <c r="D168">
        <v>11</v>
      </c>
      <c r="E168" t="str">
        <f t="shared" si="12"/>
        <v>Frequent</v>
      </c>
      <c r="F168">
        <f t="shared" si="13"/>
        <v>2</v>
      </c>
      <c r="G168">
        <v>563</v>
      </c>
      <c r="H168" t="str">
        <f t="shared" si="14"/>
        <v>High Spender</v>
      </c>
      <c r="I168">
        <f t="shared" si="15"/>
        <v>4</v>
      </c>
      <c r="J168" t="s">
        <v>10</v>
      </c>
      <c r="K168" t="s">
        <v>15</v>
      </c>
      <c r="L168">
        <f t="shared" si="16"/>
        <v>6</v>
      </c>
      <c r="M168" t="str">
        <f t="shared" si="17"/>
        <v>High Value</v>
      </c>
    </row>
    <row r="169" spans="1:13" x14ac:dyDescent="0.35">
      <c r="A169">
        <v>168</v>
      </c>
      <c r="B169" t="s">
        <v>17</v>
      </c>
      <c r="C169" t="s">
        <v>18</v>
      </c>
      <c r="D169">
        <v>23</v>
      </c>
      <c r="E169" t="str">
        <f t="shared" si="12"/>
        <v>Frequent</v>
      </c>
      <c r="F169">
        <f t="shared" si="13"/>
        <v>2</v>
      </c>
      <c r="G169">
        <v>145</v>
      </c>
      <c r="H169" t="str">
        <f t="shared" si="14"/>
        <v>Medium Spender</v>
      </c>
      <c r="I169">
        <f t="shared" si="15"/>
        <v>2</v>
      </c>
      <c r="J169" t="s">
        <v>9</v>
      </c>
      <c r="K169" t="s">
        <v>15</v>
      </c>
      <c r="L169">
        <f t="shared" si="16"/>
        <v>4</v>
      </c>
      <c r="M169" t="str">
        <f t="shared" si="17"/>
        <v>Medium</v>
      </c>
    </row>
    <row r="170" spans="1:13" x14ac:dyDescent="0.35">
      <c r="A170">
        <v>169</v>
      </c>
      <c r="B170">
        <v>66</v>
      </c>
      <c r="C170" t="s">
        <v>13</v>
      </c>
      <c r="D170">
        <v>14</v>
      </c>
      <c r="E170" t="str">
        <f t="shared" si="12"/>
        <v>Frequent</v>
      </c>
      <c r="F170">
        <f t="shared" si="13"/>
        <v>2</v>
      </c>
      <c r="G170">
        <v>122</v>
      </c>
      <c r="H170" t="str">
        <f t="shared" si="14"/>
        <v>Medium Spender</v>
      </c>
      <c r="I170">
        <f t="shared" si="15"/>
        <v>2</v>
      </c>
      <c r="J170" t="s">
        <v>10</v>
      </c>
      <c r="K170" t="s">
        <v>11</v>
      </c>
      <c r="L170">
        <f t="shared" si="16"/>
        <v>4</v>
      </c>
      <c r="M170" t="str">
        <f t="shared" si="17"/>
        <v>Medium</v>
      </c>
    </row>
    <row r="171" spans="1:13" x14ac:dyDescent="0.35">
      <c r="A171">
        <v>170</v>
      </c>
      <c r="B171" t="s">
        <v>17</v>
      </c>
      <c r="C171" t="s">
        <v>18</v>
      </c>
      <c r="D171">
        <v>14</v>
      </c>
      <c r="E171" t="str">
        <f t="shared" si="12"/>
        <v>Frequent</v>
      </c>
      <c r="F171">
        <f t="shared" si="13"/>
        <v>2</v>
      </c>
      <c r="G171">
        <v>281</v>
      </c>
      <c r="H171" t="str">
        <f t="shared" si="14"/>
        <v>Medium Spender</v>
      </c>
      <c r="I171">
        <f t="shared" si="15"/>
        <v>2</v>
      </c>
      <c r="J171" t="s">
        <v>9</v>
      </c>
      <c r="K171" t="s">
        <v>18</v>
      </c>
      <c r="L171">
        <f t="shared" si="16"/>
        <v>4</v>
      </c>
      <c r="M171" t="str">
        <f t="shared" si="17"/>
        <v>Medium</v>
      </c>
    </row>
    <row r="172" spans="1:13" x14ac:dyDescent="0.35">
      <c r="A172">
        <v>171</v>
      </c>
      <c r="B172">
        <v>59</v>
      </c>
      <c r="C172" t="s">
        <v>14</v>
      </c>
      <c r="D172">
        <v>5</v>
      </c>
      <c r="E172" t="str">
        <f t="shared" si="12"/>
        <v>Moderate</v>
      </c>
      <c r="F172">
        <f t="shared" si="13"/>
        <v>1</v>
      </c>
      <c r="G172">
        <v>730</v>
      </c>
      <c r="H172" t="str">
        <f t="shared" si="14"/>
        <v>High Spender</v>
      </c>
      <c r="I172">
        <f t="shared" si="15"/>
        <v>4</v>
      </c>
      <c r="J172" t="s">
        <v>10</v>
      </c>
      <c r="K172" t="s">
        <v>8</v>
      </c>
      <c r="L172">
        <f t="shared" si="16"/>
        <v>5</v>
      </c>
      <c r="M172" t="str">
        <f t="shared" si="17"/>
        <v>High Value</v>
      </c>
    </row>
    <row r="173" spans="1:13" x14ac:dyDescent="0.35">
      <c r="A173">
        <v>172</v>
      </c>
      <c r="B173">
        <v>52</v>
      </c>
      <c r="C173" t="s">
        <v>14</v>
      </c>
      <c r="D173">
        <v>11</v>
      </c>
      <c r="E173" t="str">
        <f t="shared" si="12"/>
        <v>Frequent</v>
      </c>
      <c r="F173">
        <f t="shared" si="13"/>
        <v>2</v>
      </c>
      <c r="G173">
        <v>224</v>
      </c>
      <c r="H173" t="str">
        <f t="shared" si="14"/>
        <v>Medium Spender</v>
      </c>
      <c r="I173">
        <f t="shared" si="15"/>
        <v>2</v>
      </c>
      <c r="J173" t="s">
        <v>9</v>
      </c>
      <c r="K173" t="s">
        <v>15</v>
      </c>
      <c r="L173">
        <f t="shared" si="16"/>
        <v>4</v>
      </c>
      <c r="M173" t="str">
        <f t="shared" si="17"/>
        <v>Medium</v>
      </c>
    </row>
    <row r="174" spans="1:13" x14ac:dyDescent="0.35">
      <c r="A174">
        <v>173</v>
      </c>
      <c r="B174">
        <v>67</v>
      </c>
      <c r="C174" t="s">
        <v>13</v>
      </c>
      <c r="D174">
        <v>20</v>
      </c>
      <c r="E174" t="str">
        <f t="shared" si="12"/>
        <v>Frequent</v>
      </c>
      <c r="F174">
        <f t="shared" si="13"/>
        <v>2</v>
      </c>
      <c r="G174">
        <v>30</v>
      </c>
      <c r="H174" t="str">
        <f t="shared" si="14"/>
        <v>Low Spender</v>
      </c>
      <c r="I174">
        <f t="shared" si="15"/>
        <v>1</v>
      </c>
      <c r="J174" t="s">
        <v>18</v>
      </c>
      <c r="K174" t="s">
        <v>8</v>
      </c>
      <c r="L174">
        <f t="shared" si="16"/>
        <v>3</v>
      </c>
      <c r="M174" t="str">
        <f t="shared" si="17"/>
        <v>Medium</v>
      </c>
    </row>
    <row r="175" spans="1:13" x14ac:dyDescent="0.35">
      <c r="A175">
        <v>174</v>
      </c>
      <c r="B175">
        <v>35</v>
      </c>
      <c r="C175" t="s">
        <v>18</v>
      </c>
      <c r="D175">
        <v>19</v>
      </c>
      <c r="E175" t="str">
        <f t="shared" si="12"/>
        <v>Frequent</v>
      </c>
      <c r="F175">
        <f t="shared" si="13"/>
        <v>2</v>
      </c>
      <c r="G175">
        <v>525</v>
      </c>
      <c r="H175" t="str">
        <f t="shared" si="14"/>
        <v>High Spender</v>
      </c>
      <c r="I175">
        <f t="shared" si="15"/>
        <v>4</v>
      </c>
      <c r="J175" t="s">
        <v>16</v>
      </c>
      <c r="K175" t="s">
        <v>18</v>
      </c>
      <c r="L175">
        <f t="shared" si="16"/>
        <v>6</v>
      </c>
      <c r="M175" t="str">
        <f t="shared" si="17"/>
        <v>High Value</v>
      </c>
    </row>
    <row r="176" spans="1:13" x14ac:dyDescent="0.35">
      <c r="A176">
        <v>175</v>
      </c>
      <c r="B176">
        <v>34</v>
      </c>
      <c r="C176" t="s">
        <v>13</v>
      </c>
      <c r="D176">
        <v>17</v>
      </c>
      <c r="E176" t="str">
        <f t="shared" si="12"/>
        <v>Frequent</v>
      </c>
      <c r="F176">
        <f t="shared" si="13"/>
        <v>2</v>
      </c>
      <c r="G176">
        <v>787</v>
      </c>
      <c r="H176" t="str">
        <f t="shared" si="14"/>
        <v>High Spender</v>
      </c>
      <c r="I176">
        <f t="shared" si="15"/>
        <v>4</v>
      </c>
      <c r="J176" t="s">
        <v>9</v>
      </c>
      <c r="K176" t="s">
        <v>18</v>
      </c>
      <c r="L176">
        <f t="shared" si="16"/>
        <v>6</v>
      </c>
      <c r="M176" t="str">
        <f t="shared" si="17"/>
        <v>High Value</v>
      </c>
    </row>
    <row r="177" spans="1:13" x14ac:dyDescent="0.35">
      <c r="A177">
        <v>176</v>
      </c>
      <c r="B177">
        <v>41</v>
      </c>
      <c r="C177" t="s">
        <v>13</v>
      </c>
      <c r="D177">
        <v>13</v>
      </c>
      <c r="E177" t="str">
        <f t="shared" si="12"/>
        <v>Frequent</v>
      </c>
      <c r="F177">
        <f t="shared" si="13"/>
        <v>2</v>
      </c>
      <c r="G177">
        <v>14</v>
      </c>
      <c r="H177" t="str">
        <f t="shared" si="14"/>
        <v>Low Spender</v>
      </c>
      <c r="I177">
        <f t="shared" si="15"/>
        <v>1</v>
      </c>
      <c r="J177" t="s">
        <v>9</v>
      </c>
      <c r="K177" t="s">
        <v>18</v>
      </c>
      <c r="L177">
        <f t="shared" si="16"/>
        <v>3</v>
      </c>
      <c r="M177" t="str">
        <f t="shared" si="17"/>
        <v>Medium</v>
      </c>
    </row>
    <row r="178" spans="1:13" x14ac:dyDescent="0.35">
      <c r="A178">
        <v>177</v>
      </c>
      <c r="B178">
        <v>20</v>
      </c>
      <c r="C178" t="s">
        <v>14</v>
      </c>
      <c r="D178">
        <v>1</v>
      </c>
      <c r="E178" t="str">
        <f t="shared" si="12"/>
        <v>Low</v>
      </c>
      <c r="F178">
        <f t="shared" si="13"/>
        <v>0</v>
      </c>
      <c r="G178">
        <v>382</v>
      </c>
      <c r="H178" t="str">
        <f t="shared" si="14"/>
        <v>High Spender</v>
      </c>
      <c r="I178">
        <f t="shared" si="15"/>
        <v>4</v>
      </c>
      <c r="J178" t="s">
        <v>7</v>
      </c>
      <c r="K178" t="s">
        <v>18</v>
      </c>
      <c r="L178">
        <f t="shared" si="16"/>
        <v>4</v>
      </c>
      <c r="M178" t="str">
        <f t="shared" si="17"/>
        <v>Medium</v>
      </c>
    </row>
    <row r="179" spans="1:13" x14ac:dyDescent="0.35">
      <c r="A179">
        <v>178</v>
      </c>
      <c r="B179">
        <v>49</v>
      </c>
      <c r="C179" t="s">
        <v>13</v>
      </c>
      <c r="D179">
        <v>8</v>
      </c>
      <c r="E179" t="str">
        <f t="shared" si="12"/>
        <v>Frequent</v>
      </c>
      <c r="F179">
        <f t="shared" si="13"/>
        <v>2</v>
      </c>
      <c r="G179">
        <v>637</v>
      </c>
      <c r="H179" t="str">
        <f t="shared" si="14"/>
        <v>High Spender</v>
      </c>
      <c r="I179">
        <f t="shared" si="15"/>
        <v>4</v>
      </c>
      <c r="J179" t="s">
        <v>9</v>
      </c>
      <c r="K179" t="s">
        <v>11</v>
      </c>
      <c r="L179">
        <f t="shared" si="16"/>
        <v>6</v>
      </c>
      <c r="M179" t="str">
        <f t="shared" si="17"/>
        <v>High Value</v>
      </c>
    </row>
    <row r="180" spans="1:13" x14ac:dyDescent="0.35">
      <c r="A180">
        <v>179</v>
      </c>
      <c r="B180">
        <v>52</v>
      </c>
      <c r="C180" t="s">
        <v>13</v>
      </c>
      <c r="D180">
        <v>4</v>
      </c>
      <c r="E180" t="str">
        <f t="shared" si="12"/>
        <v>Moderate</v>
      </c>
      <c r="F180">
        <f t="shared" si="13"/>
        <v>1</v>
      </c>
      <c r="G180">
        <v>641</v>
      </c>
      <c r="H180" t="str">
        <f t="shared" si="14"/>
        <v>High Spender</v>
      </c>
      <c r="I180">
        <f t="shared" si="15"/>
        <v>4</v>
      </c>
      <c r="J180" t="s">
        <v>7</v>
      </c>
      <c r="K180" t="s">
        <v>15</v>
      </c>
      <c r="L180">
        <f t="shared" si="16"/>
        <v>5</v>
      </c>
      <c r="M180" t="str">
        <f t="shared" si="17"/>
        <v>High Value</v>
      </c>
    </row>
    <row r="181" spans="1:13" x14ac:dyDescent="0.35">
      <c r="A181">
        <v>180</v>
      </c>
      <c r="B181">
        <v>55</v>
      </c>
      <c r="C181" t="s">
        <v>13</v>
      </c>
      <c r="D181">
        <v>19</v>
      </c>
      <c r="E181" t="str">
        <f t="shared" si="12"/>
        <v>Frequent</v>
      </c>
      <c r="F181">
        <f t="shared" si="13"/>
        <v>2</v>
      </c>
      <c r="G181">
        <v>686</v>
      </c>
      <c r="H181" t="str">
        <f t="shared" si="14"/>
        <v>High Spender</v>
      </c>
      <c r="I181">
        <f t="shared" si="15"/>
        <v>4</v>
      </c>
      <c r="J181" t="s">
        <v>12</v>
      </c>
      <c r="K181" t="s">
        <v>18</v>
      </c>
      <c r="L181">
        <f t="shared" si="16"/>
        <v>6</v>
      </c>
      <c r="M181" t="str">
        <f t="shared" si="17"/>
        <v>High Value</v>
      </c>
    </row>
    <row r="182" spans="1:13" x14ac:dyDescent="0.35">
      <c r="A182">
        <v>181</v>
      </c>
      <c r="B182">
        <v>30</v>
      </c>
      <c r="C182" t="s">
        <v>13</v>
      </c>
      <c r="D182">
        <v>0</v>
      </c>
      <c r="E182" t="str">
        <f t="shared" si="12"/>
        <v>Inactive</v>
      </c>
      <c r="F182">
        <f t="shared" si="13"/>
        <v>0</v>
      </c>
      <c r="G182">
        <v>588</v>
      </c>
      <c r="H182" t="str">
        <f t="shared" si="14"/>
        <v>High Spender</v>
      </c>
      <c r="I182">
        <f t="shared" si="15"/>
        <v>4</v>
      </c>
      <c r="J182" t="s">
        <v>18</v>
      </c>
      <c r="K182" t="s">
        <v>11</v>
      </c>
      <c r="L182">
        <f t="shared" si="16"/>
        <v>4</v>
      </c>
      <c r="M182" t="str">
        <f t="shared" si="17"/>
        <v>Medium</v>
      </c>
    </row>
    <row r="183" spans="1:13" x14ac:dyDescent="0.35">
      <c r="A183">
        <v>182</v>
      </c>
      <c r="B183">
        <v>73</v>
      </c>
      <c r="C183" t="s">
        <v>13</v>
      </c>
      <c r="D183">
        <v>0</v>
      </c>
      <c r="E183" t="str">
        <f t="shared" si="12"/>
        <v>Inactive</v>
      </c>
      <c r="F183">
        <f t="shared" si="13"/>
        <v>0</v>
      </c>
      <c r="G183">
        <v>156</v>
      </c>
      <c r="H183" t="str">
        <f t="shared" si="14"/>
        <v>Medium Spender</v>
      </c>
      <c r="I183">
        <f t="shared" si="15"/>
        <v>2</v>
      </c>
      <c r="J183" t="s">
        <v>7</v>
      </c>
      <c r="K183" t="s">
        <v>8</v>
      </c>
      <c r="L183">
        <f t="shared" si="16"/>
        <v>2</v>
      </c>
      <c r="M183" t="str">
        <f t="shared" si="17"/>
        <v>Low</v>
      </c>
    </row>
    <row r="184" spans="1:13" x14ac:dyDescent="0.35">
      <c r="A184">
        <v>183</v>
      </c>
      <c r="B184">
        <v>64</v>
      </c>
      <c r="C184" t="s">
        <v>14</v>
      </c>
      <c r="D184">
        <v>22</v>
      </c>
      <c r="E184" t="str">
        <f t="shared" si="12"/>
        <v>Frequent</v>
      </c>
      <c r="F184">
        <f t="shared" si="13"/>
        <v>2</v>
      </c>
      <c r="G184">
        <v>724</v>
      </c>
      <c r="H184" t="str">
        <f t="shared" si="14"/>
        <v>High Spender</v>
      </c>
      <c r="I184">
        <f t="shared" si="15"/>
        <v>4</v>
      </c>
      <c r="J184" t="s">
        <v>16</v>
      </c>
      <c r="K184" t="s">
        <v>15</v>
      </c>
      <c r="L184">
        <f t="shared" si="16"/>
        <v>6</v>
      </c>
      <c r="M184" t="str">
        <f t="shared" si="17"/>
        <v>High Value</v>
      </c>
    </row>
    <row r="185" spans="1:13" x14ac:dyDescent="0.35">
      <c r="A185">
        <v>184</v>
      </c>
      <c r="B185">
        <v>42</v>
      </c>
      <c r="C185" t="s">
        <v>13</v>
      </c>
      <c r="D185">
        <v>2</v>
      </c>
      <c r="E185" t="str">
        <f t="shared" si="12"/>
        <v>Low</v>
      </c>
      <c r="F185">
        <f t="shared" si="13"/>
        <v>0</v>
      </c>
      <c r="G185">
        <v>53</v>
      </c>
      <c r="H185" t="str">
        <f t="shared" si="14"/>
        <v>Low Spender</v>
      </c>
      <c r="I185">
        <f t="shared" si="15"/>
        <v>1</v>
      </c>
      <c r="J185" t="s">
        <v>18</v>
      </c>
      <c r="K185" t="s">
        <v>18</v>
      </c>
      <c r="L185">
        <f t="shared" si="16"/>
        <v>1</v>
      </c>
      <c r="M185" t="str">
        <f t="shared" si="17"/>
        <v>Low</v>
      </c>
    </row>
    <row r="186" spans="1:13" x14ac:dyDescent="0.35">
      <c r="A186">
        <v>185</v>
      </c>
      <c r="B186">
        <v>26</v>
      </c>
      <c r="C186" t="s">
        <v>14</v>
      </c>
      <c r="D186">
        <v>5</v>
      </c>
      <c r="E186" t="str">
        <f t="shared" si="12"/>
        <v>Moderate</v>
      </c>
      <c r="F186">
        <f t="shared" si="13"/>
        <v>1</v>
      </c>
      <c r="G186">
        <v>158</v>
      </c>
      <c r="H186" t="str">
        <f t="shared" si="14"/>
        <v>Medium Spender</v>
      </c>
      <c r="I186">
        <f t="shared" si="15"/>
        <v>2</v>
      </c>
      <c r="J186" t="s">
        <v>18</v>
      </c>
      <c r="K186" t="s">
        <v>15</v>
      </c>
      <c r="L186">
        <f t="shared" si="16"/>
        <v>3</v>
      </c>
      <c r="M186" t="str">
        <f t="shared" si="17"/>
        <v>Medium</v>
      </c>
    </row>
    <row r="187" spans="1:13" x14ac:dyDescent="0.35">
      <c r="A187">
        <v>186</v>
      </c>
      <c r="B187">
        <v>21</v>
      </c>
      <c r="C187" t="s">
        <v>14</v>
      </c>
      <c r="D187">
        <v>4</v>
      </c>
      <c r="E187" t="str">
        <f t="shared" si="12"/>
        <v>Moderate</v>
      </c>
      <c r="F187">
        <f t="shared" si="13"/>
        <v>1</v>
      </c>
      <c r="G187">
        <v>297</v>
      </c>
      <c r="H187" t="str">
        <f t="shared" si="14"/>
        <v>Medium Spender</v>
      </c>
      <c r="I187">
        <f t="shared" si="15"/>
        <v>2</v>
      </c>
      <c r="J187" t="s">
        <v>7</v>
      </c>
      <c r="K187" t="s">
        <v>8</v>
      </c>
      <c r="L187">
        <f t="shared" si="16"/>
        <v>3</v>
      </c>
      <c r="M187" t="str">
        <f t="shared" si="17"/>
        <v>Medium</v>
      </c>
    </row>
    <row r="188" spans="1:13" x14ac:dyDescent="0.35">
      <c r="A188">
        <v>187</v>
      </c>
      <c r="B188">
        <v>31</v>
      </c>
      <c r="C188" t="s">
        <v>13</v>
      </c>
      <c r="D188">
        <v>20</v>
      </c>
      <c r="E188" t="str">
        <f t="shared" si="12"/>
        <v>Frequent</v>
      </c>
      <c r="F188">
        <f t="shared" si="13"/>
        <v>2</v>
      </c>
      <c r="G188">
        <v>584</v>
      </c>
      <c r="H188" t="str">
        <f t="shared" si="14"/>
        <v>High Spender</v>
      </c>
      <c r="I188">
        <f t="shared" si="15"/>
        <v>4</v>
      </c>
      <c r="J188" t="s">
        <v>18</v>
      </c>
      <c r="K188" t="s">
        <v>18</v>
      </c>
      <c r="L188">
        <f t="shared" si="16"/>
        <v>6</v>
      </c>
      <c r="M188" t="str">
        <f t="shared" si="17"/>
        <v>High Value</v>
      </c>
    </row>
    <row r="189" spans="1:13" x14ac:dyDescent="0.35">
      <c r="A189">
        <v>188</v>
      </c>
      <c r="B189">
        <v>54</v>
      </c>
      <c r="C189" t="s">
        <v>14</v>
      </c>
      <c r="D189">
        <v>20</v>
      </c>
      <c r="E189" t="str">
        <f t="shared" si="12"/>
        <v>Frequent</v>
      </c>
      <c r="F189">
        <f t="shared" si="13"/>
        <v>2</v>
      </c>
      <c r="G189">
        <v>54</v>
      </c>
      <c r="H189" t="str">
        <f t="shared" si="14"/>
        <v>Low Spender</v>
      </c>
      <c r="I189">
        <f t="shared" si="15"/>
        <v>1</v>
      </c>
      <c r="J189" t="s">
        <v>18</v>
      </c>
      <c r="K189" t="s">
        <v>18</v>
      </c>
      <c r="L189">
        <f t="shared" si="16"/>
        <v>3</v>
      </c>
      <c r="M189" t="str">
        <f t="shared" si="17"/>
        <v>Medium</v>
      </c>
    </row>
    <row r="190" spans="1:13" x14ac:dyDescent="0.35">
      <c r="A190">
        <v>189</v>
      </c>
      <c r="B190">
        <v>51</v>
      </c>
      <c r="C190" t="s">
        <v>14</v>
      </c>
      <c r="D190">
        <v>4</v>
      </c>
      <c r="E190" t="str">
        <f t="shared" si="12"/>
        <v>Moderate</v>
      </c>
      <c r="F190">
        <f t="shared" si="13"/>
        <v>1</v>
      </c>
      <c r="G190">
        <v>668</v>
      </c>
      <c r="H190" t="str">
        <f t="shared" si="14"/>
        <v>High Spender</v>
      </c>
      <c r="I190">
        <f t="shared" si="15"/>
        <v>4</v>
      </c>
      <c r="J190" t="s">
        <v>18</v>
      </c>
      <c r="K190" t="s">
        <v>18</v>
      </c>
      <c r="L190">
        <f t="shared" si="16"/>
        <v>5</v>
      </c>
      <c r="M190" t="str">
        <f t="shared" si="17"/>
        <v>High Value</v>
      </c>
    </row>
    <row r="191" spans="1:13" x14ac:dyDescent="0.35">
      <c r="A191">
        <v>190</v>
      </c>
      <c r="B191">
        <v>28</v>
      </c>
      <c r="C191" t="s">
        <v>14</v>
      </c>
      <c r="D191">
        <v>0</v>
      </c>
      <c r="E191" t="str">
        <f t="shared" si="12"/>
        <v>Inactive</v>
      </c>
      <c r="F191">
        <f t="shared" si="13"/>
        <v>0</v>
      </c>
      <c r="G191">
        <v>535</v>
      </c>
      <c r="H191" t="str">
        <f t="shared" si="14"/>
        <v>High Spender</v>
      </c>
      <c r="I191">
        <f t="shared" si="15"/>
        <v>4</v>
      </c>
      <c r="J191" t="s">
        <v>12</v>
      </c>
      <c r="K191" t="s">
        <v>18</v>
      </c>
      <c r="L191">
        <f t="shared" si="16"/>
        <v>4</v>
      </c>
      <c r="M191" t="str">
        <f t="shared" si="17"/>
        <v>Medium</v>
      </c>
    </row>
    <row r="192" spans="1:13" x14ac:dyDescent="0.35">
      <c r="A192">
        <v>191</v>
      </c>
      <c r="B192">
        <v>58</v>
      </c>
      <c r="C192" t="s">
        <v>13</v>
      </c>
      <c r="D192">
        <v>16</v>
      </c>
      <c r="E192" t="str">
        <f t="shared" si="12"/>
        <v>Frequent</v>
      </c>
      <c r="F192">
        <f t="shared" si="13"/>
        <v>2</v>
      </c>
      <c r="G192">
        <v>616</v>
      </c>
      <c r="H192" t="str">
        <f t="shared" si="14"/>
        <v>High Spender</v>
      </c>
      <c r="I192">
        <f t="shared" si="15"/>
        <v>4</v>
      </c>
      <c r="J192" t="s">
        <v>16</v>
      </c>
      <c r="K192" t="s">
        <v>11</v>
      </c>
      <c r="L192">
        <f t="shared" si="16"/>
        <v>6</v>
      </c>
      <c r="M192" t="str">
        <f t="shared" si="17"/>
        <v>High Value</v>
      </c>
    </row>
    <row r="193" spans="1:13" x14ac:dyDescent="0.35">
      <c r="A193">
        <v>192</v>
      </c>
      <c r="B193">
        <v>73</v>
      </c>
      <c r="C193" t="s">
        <v>14</v>
      </c>
      <c r="D193">
        <v>18</v>
      </c>
      <c r="E193" t="str">
        <f t="shared" si="12"/>
        <v>Frequent</v>
      </c>
      <c r="F193">
        <f t="shared" si="13"/>
        <v>2</v>
      </c>
      <c r="G193">
        <v>64</v>
      </c>
      <c r="H193" t="str">
        <f t="shared" si="14"/>
        <v>Low Spender</v>
      </c>
      <c r="I193">
        <f t="shared" si="15"/>
        <v>1</v>
      </c>
      <c r="J193" t="s">
        <v>10</v>
      </c>
      <c r="K193" t="s">
        <v>11</v>
      </c>
      <c r="L193">
        <f t="shared" si="16"/>
        <v>3</v>
      </c>
      <c r="M193" t="str">
        <f t="shared" si="17"/>
        <v>Medium</v>
      </c>
    </row>
    <row r="194" spans="1:13" x14ac:dyDescent="0.35">
      <c r="A194">
        <v>193</v>
      </c>
      <c r="B194">
        <v>20</v>
      </c>
      <c r="C194" t="s">
        <v>13</v>
      </c>
      <c r="D194">
        <v>13</v>
      </c>
      <c r="E194" t="str">
        <f t="shared" si="12"/>
        <v>Frequent</v>
      </c>
      <c r="F194">
        <f t="shared" si="13"/>
        <v>2</v>
      </c>
      <c r="G194">
        <v>171</v>
      </c>
      <c r="H194" t="str">
        <f t="shared" si="14"/>
        <v>Medium Spender</v>
      </c>
      <c r="I194">
        <f t="shared" si="15"/>
        <v>2</v>
      </c>
      <c r="J194" t="s">
        <v>10</v>
      </c>
      <c r="K194" t="s">
        <v>15</v>
      </c>
      <c r="L194">
        <f t="shared" si="16"/>
        <v>4</v>
      </c>
      <c r="M194" t="str">
        <f t="shared" si="17"/>
        <v>Medium</v>
      </c>
    </row>
    <row r="195" spans="1:13" x14ac:dyDescent="0.35">
      <c r="A195">
        <v>194</v>
      </c>
      <c r="B195" t="s">
        <v>17</v>
      </c>
      <c r="C195" t="s">
        <v>13</v>
      </c>
      <c r="D195">
        <v>11</v>
      </c>
      <c r="E195" t="str">
        <f t="shared" ref="E195:E221" si="18">IF(D195=0,"Inactive",IF(D195&lt;=2,"Low",IF(D195&lt;=5,"Moderate","Frequent")))</f>
        <v>Frequent</v>
      </c>
      <c r="F195">
        <f t="shared" ref="F195:F221" si="19">IF(E195="Inactive",0,IF(E195="Frequent",2,IF(E195="Moderate",1,0)))</f>
        <v>2</v>
      </c>
      <c r="G195">
        <v>206</v>
      </c>
      <c r="H195" t="str">
        <f t="shared" ref="H195:H221" si="20">IF(G195&lt;=100,"Low Spender",IF(G195&lt;=300,"Medium Spender","High Spender"))</f>
        <v>Medium Spender</v>
      </c>
      <c r="I195">
        <f t="shared" ref="I195:I221" si="21">IF(H195="High Spender",4,IF(H195="Medium Spender",2,1))</f>
        <v>2</v>
      </c>
      <c r="J195" t="s">
        <v>7</v>
      </c>
      <c r="K195" t="s">
        <v>18</v>
      </c>
      <c r="L195">
        <f t="shared" ref="L195:L221" si="22">F195+I195</f>
        <v>4</v>
      </c>
      <c r="M195" t="str">
        <f t="shared" ref="M195:M221" si="23">IF(L195&lt;=2,"Low",IF(L195&lt;=4,"Medium","High Value"))</f>
        <v>Medium</v>
      </c>
    </row>
    <row r="196" spans="1:13" x14ac:dyDescent="0.35">
      <c r="A196">
        <v>195</v>
      </c>
      <c r="B196">
        <v>45</v>
      </c>
      <c r="C196" t="s">
        <v>13</v>
      </c>
      <c r="D196">
        <v>9</v>
      </c>
      <c r="E196" t="str">
        <f t="shared" si="18"/>
        <v>Frequent</v>
      </c>
      <c r="F196">
        <f t="shared" si="19"/>
        <v>2</v>
      </c>
      <c r="G196">
        <v>150</v>
      </c>
      <c r="H196" t="str">
        <f t="shared" si="20"/>
        <v>Medium Spender</v>
      </c>
      <c r="I196">
        <f t="shared" si="21"/>
        <v>2</v>
      </c>
      <c r="J196" t="s">
        <v>18</v>
      </c>
      <c r="K196" t="s">
        <v>18</v>
      </c>
      <c r="L196">
        <f t="shared" si="22"/>
        <v>4</v>
      </c>
      <c r="M196" t="str">
        <f t="shared" si="23"/>
        <v>Medium</v>
      </c>
    </row>
    <row r="197" spans="1:13" x14ac:dyDescent="0.35">
      <c r="A197">
        <v>196</v>
      </c>
      <c r="B197">
        <v>46</v>
      </c>
      <c r="C197" t="s">
        <v>18</v>
      </c>
      <c r="D197">
        <v>19</v>
      </c>
      <c r="E197" t="str">
        <f t="shared" si="18"/>
        <v>Frequent</v>
      </c>
      <c r="F197">
        <f t="shared" si="19"/>
        <v>2</v>
      </c>
      <c r="G197">
        <v>680</v>
      </c>
      <c r="H197" t="str">
        <f t="shared" si="20"/>
        <v>High Spender</v>
      </c>
      <c r="I197">
        <f t="shared" si="21"/>
        <v>4</v>
      </c>
      <c r="J197" t="s">
        <v>7</v>
      </c>
      <c r="K197" t="s">
        <v>18</v>
      </c>
      <c r="L197">
        <f t="shared" si="22"/>
        <v>6</v>
      </c>
      <c r="M197" t="str">
        <f t="shared" si="23"/>
        <v>High Value</v>
      </c>
    </row>
    <row r="198" spans="1:13" x14ac:dyDescent="0.35">
      <c r="A198">
        <v>197</v>
      </c>
      <c r="B198">
        <v>26</v>
      </c>
      <c r="C198" t="s">
        <v>13</v>
      </c>
      <c r="D198">
        <v>20</v>
      </c>
      <c r="E198" t="str">
        <f t="shared" si="18"/>
        <v>Frequent</v>
      </c>
      <c r="F198">
        <f t="shared" si="19"/>
        <v>2</v>
      </c>
      <c r="G198">
        <v>443</v>
      </c>
      <c r="H198" t="str">
        <f t="shared" si="20"/>
        <v>High Spender</v>
      </c>
      <c r="I198">
        <f t="shared" si="21"/>
        <v>4</v>
      </c>
      <c r="J198" t="s">
        <v>12</v>
      </c>
      <c r="K198" t="s">
        <v>8</v>
      </c>
      <c r="L198">
        <f t="shared" si="22"/>
        <v>6</v>
      </c>
      <c r="M198" t="str">
        <f t="shared" si="23"/>
        <v>High Value</v>
      </c>
    </row>
    <row r="199" spans="1:13" x14ac:dyDescent="0.35">
      <c r="A199">
        <v>198</v>
      </c>
      <c r="B199">
        <v>20</v>
      </c>
      <c r="C199" t="s">
        <v>18</v>
      </c>
      <c r="D199">
        <v>17</v>
      </c>
      <c r="E199" t="str">
        <f t="shared" si="18"/>
        <v>Frequent</v>
      </c>
      <c r="F199">
        <f t="shared" si="19"/>
        <v>2</v>
      </c>
      <c r="G199">
        <v>246</v>
      </c>
      <c r="H199" t="str">
        <f t="shared" si="20"/>
        <v>Medium Spender</v>
      </c>
      <c r="I199">
        <f t="shared" si="21"/>
        <v>2</v>
      </c>
      <c r="J199" t="s">
        <v>12</v>
      </c>
      <c r="K199" t="s">
        <v>8</v>
      </c>
      <c r="L199">
        <f t="shared" si="22"/>
        <v>4</v>
      </c>
      <c r="M199" t="str">
        <f t="shared" si="23"/>
        <v>Medium</v>
      </c>
    </row>
    <row r="200" spans="1:13" x14ac:dyDescent="0.35">
      <c r="A200">
        <v>199</v>
      </c>
      <c r="B200">
        <v>42</v>
      </c>
      <c r="C200" t="s">
        <v>14</v>
      </c>
      <c r="D200">
        <v>23</v>
      </c>
      <c r="E200" t="str">
        <f t="shared" si="18"/>
        <v>Frequent</v>
      </c>
      <c r="F200">
        <f t="shared" si="19"/>
        <v>2</v>
      </c>
      <c r="G200">
        <v>585</v>
      </c>
      <c r="H200" t="str">
        <f t="shared" si="20"/>
        <v>High Spender</v>
      </c>
      <c r="I200">
        <f t="shared" si="21"/>
        <v>4</v>
      </c>
      <c r="J200" t="s">
        <v>9</v>
      </c>
      <c r="K200" t="s">
        <v>18</v>
      </c>
      <c r="L200">
        <f t="shared" si="22"/>
        <v>6</v>
      </c>
      <c r="M200" t="str">
        <f t="shared" si="23"/>
        <v>High Value</v>
      </c>
    </row>
    <row r="201" spans="1:13" x14ac:dyDescent="0.35">
      <c r="A201">
        <v>200</v>
      </c>
      <c r="B201">
        <v>51</v>
      </c>
      <c r="C201" t="s">
        <v>14</v>
      </c>
      <c r="D201">
        <v>20</v>
      </c>
      <c r="E201" t="str">
        <f t="shared" si="18"/>
        <v>Frequent</v>
      </c>
      <c r="F201">
        <f t="shared" si="19"/>
        <v>2</v>
      </c>
      <c r="G201">
        <v>691</v>
      </c>
      <c r="H201" t="str">
        <f t="shared" si="20"/>
        <v>High Spender</v>
      </c>
      <c r="I201">
        <f t="shared" si="21"/>
        <v>4</v>
      </c>
      <c r="J201" t="s">
        <v>12</v>
      </c>
      <c r="K201" t="s">
        <v>18</v>
      </c>
      <c r="L201">
        <f t="shared" si="22"/>
        <v>6</v>
      </c>
      <c r="M201" t="str">
        <f t="shared" si="23"/>
        <v>High Value</v>
      </c>
    </row>
    <row r="202" spans="1:13" x14ac:dyDescent="0.35">
      <c r="A202">
        <v>201</v>
      </c>
      <c r="B202">
        <v>29</v>
      </c>
      <c r="C202" t="s">
        <v>14</v>
      </c>
      <c r="D202">
        <v>10</v>
      </c>
      <c r="E202" t="str">
        <f t="shared" si="18"/>
        <v>Frequent</v>
      </c>
      <c r="F202">
        <f t="shared" si="19"/>
        <v>2</v>
      </c>
      <c r="G202">
        <v>565</v>
      </c>
      <c r="H202" t="str">
        <f t="shared" si="20"/>
        <v>High Spender</v>
      </c>
      <c r="I202">
        <f t="shared" si="21"/>
        <v>4</v>
      </c>
      <c r="J202" t="s">
        <v>9</v>
      </c>
      <c r="K202" t="s">
        <v>18</v>
      </c>
      <c r="L202">
        <f t="shared" si="22"/>
        <v>6</v>
      </c>
      <c r="M202" t="str">
        <f t="shared" si="23"/>
        <v>High Value</v>
      </c>
    </row>
    <row r="203" spans="1:13" x14ac:dyDescent="0.35">
      <c r="A203">
        <v>202</v>
      </c>
      <c r="B203">
        <v>59</v>
      </c>
      <c r="C203" t="s">
        <v>14</v>
      </c>
      <c r="D203">
        <v>1</v>
      </c>
      <c r="E203" t="str">
        <f t="shared" si="18"/>
        <v>Low</v>
      </c>
      <c r="F203">
        <f t="shared" si="19"/>
        <v>0</v>
      </c>
      <c r="G203">
        <v>487</v>
      </c>
      <c r="H203" t="str">
        <f t="shared" si="20"/>
        <v>High Spender</v>
      </c>
      <c r="I203">
        <f t="shared" si="21"/>
        <v>4</v>
      </c>
      <c r="J203" t="s">
        <v>16</v>
      </c>
      <c r="K203" t="s">
        <v>11</v>
      </c>
      <c r="L203">
        <f t="shared" si="22"/>
        <v>4</v>
      </c>
      <c r="M203" t="str">
        <f t="shared" si="23"/>
        <v>Medium</v>
      </c>
    </row>
    <row r="204" spans="1:13" x14ac:dyDescent="0.35">
      <c r="A204">
        <v>203</v>
      </c>
      <c r="B204">
        <v>26</v>
      </c>
      <c r="C204" t="s">
        <v>14</v>
      </c>
      <c r="D204">
        <v>24</v>
      </c>
      <c r="E204" t="str">
        <f t="shared" si="18"/>
        <v>Frequent</v>
      </c>
      <c r="F204">
        <f t="shared" si="19"/>
        <v>2</v>
      </c>
      <c r="G204">
        <v>112</v>
      </c>
      <c r="H204" t="str">
        <f t="shared" si="20"/>
        <v>Medium Spender</v>
      </c>
      <c r="I204">
        <f t="shared" si="21"/>
        <v>2</v>
      </c>
      <c r="J204" t="s">
        <v>7</v>
      </c>
      <c r="K204" t="s">
        <v>8</v>
      </c>
      <c r="L204">
        <f t="shared" si="22"/>
        <v>4</v>
      </c>
      <c r="M204" t="str">
        <f t="shared" si="23"/>
        <v>Medium</v>
      </c>
    </row>
    <row r="205" spans="1:13" x14ac:dyDescent="0.35">
      <c r="A205">
        <v>204</v>
      </c>
      <c r="B205">
        <v>32</v>
      </c>
      <c r="C205" t="s">
        <v>14</v>
      </c>
      <c r="D205">
        <v>17</v>
      </c>
      <c r="E205" t="str">
        <f t="shared" si="18"/>
        <v>Frequent</v>
      </c>
      <c r="F205">
        <f t="shared" si="19"/>
        <v>2</v>
      </c>
      <c r="G205">
        <v>230</v>
      </c>
      <c r="H205" t="str">
        <f t="shared" si="20"/>
        <v>Medium Spender</v>
      </c>
      <c r="I205">
        <f t="shared" si="21"/>
        <v>2</v>
      </c>
      <c r="J205" t="s">
        <v>18</v>
      </c>
      <c r="K205" t="s">
        <v>11</v>
      </c>
      <c r="L205">
        <f t="shared" si="22"/>
        <v>4</v>
      </c>
      <c r="M205" t="str">
        <f t="shared" si="23"/>
        <v>Medium</v>
      </c>
    </row>
    <row r="206" spans="1:13" x14ac:dyDescent="0.35">
      <c r="A206">
        <v>205</v>
      </c>
      <c r="B206">
        <v>57</v>
      </c>
      <c r="C206" t="s">
        <v>14</v>
      </c>
      <c r="D206">
        <v>24</v>
      </c>
      <c r="E206" t="str">
        <f t="shared" si="18"/>
        <v>Frequent</v>
      </c>
      <c r="F206">
        <f t="shared" si="19"/>
        <v>2</v>
      </c>
      <c r="G206">
        <v>677</v>
      </c>
      <c r="H206" t="str">
        <f t="shared" si="20"/>
        <v>High Spender</v>
      </c>
      <c r="I206">
        <f t="shared" si="21"/>
        <v>4</v>
      </c>
      <c r="J206" t="s">
        <v>16</v>
      </c>
      <c r="K206" t="s">
        <v>18</v>
      </c>
      <c r="L206">
        <f t="shared" si="22"/>
        <v>6</v>
      </c>
      <c r="M206" t="str">
        <f t="shared" si="23"/>
        <v>High Value</v>
      </c>
    </row>
    <row r="207" spans="1:13" x14ac:dyDescent="0.35">
      <c r="A207">
        <v>206</v>
      </c>
      <c r="B207">
        <v>42</v>
      </c>
      <c r="C207" t="s">
        <v>14</v>
      </c>
      <c r="D207">
        <v>6</v>
      </c>
      <c r="E207" t="str">
        <f t="shared" si="18"/>
        <v>Frequent</v>
      </c>
      <c r="F207">
        <f t="shared" si="19"/>
        <v>2</v>
      </c>
      <c r="G207">
        <v>635</v>
      </c>
      <c r="H207" t="str">
        <f t="shared" si="20"/>
        <v>High Spender</v>
      </c>
      <c r="I207">
        <f t="shared" si="21"/>
        <v>4</v>
      </c>
      <c r="J207" t="s">
        <v>12</v>
      </c>
      <c r="K207" t="s">
        <v>18</v>
      </c>
      <c r="L207">
        <f t="shared" si="22"/>
        <v>6</v>
      </c>
      <c r="M207" t="str">
        <f t="shared" si="23"/>
        <v>High Value</v>
      </c>
    </row>
    <row r="208" spans="1:13" x14ac:dyDescent="0.35">
      <c r="A208">
        <v>207</v>
      </c>
      <c r="B208">
        <v>22</v>
      </c>
      <c r="C208" t="s">
        <v>14</v>
      </c>
      <c r="D208">
        <v>23</v>
      </c>
      <c r="E208" t="str">
        <f t="shared" si="18"/>
        <v>Frequent</v>
      </c>
      <c r="F208">
        <f t="shared" si="19"/>
        <v>2</v>
      </c>
      <c r="G208">
        <v>665</v>
      </c>
      <c r="H208" t="str">
        <f t="shared" si="20"/>
        <v>High Spender</v>
      </c>
      <c r="I208">
        <f t="shared" si="21"/>
        <v>4</v>
      </c>
      <c r="J208" t="s">
        <v>16</v>
      </c>
      <c r="K208" t="s">
        <v>11</v>
      </c>
      <c r="L208">
        <f t="shared" si="22"/>
        <v>6</v>
      </c>
      <c r="M208" t="str">
        <f t="shared" si="23"/>
        <v>High Value</v>
      </c>
    </row>
    <row r="209" spans="1:13" x14ac:dyDescent="0.35">
      <c r="A209">
        <v>208</v>
      </c>
      <c r="B209">
        <v>28</v>
      </c>
      <c r="C209" t="s">
        <v>13</v>
      </c>
      <c r="D209">
        <v>14</v>
      </c>
      <c r="E209" t="str">
        <f t="shared" si="18"/>
        <v>Frequent</v>
      </c>
      <c r="F209">
        <f t="shared" si="19"/>
        <v>2</v>
      </c>
      <c r="G209">
        <v>666</v>
      </c>
      <c r="H209" t="str">
        <f t="shared" si="20"/>
        <v>High Spender</v>
      </c>
      <c r="I209">
        <f t="shared" si="21"/>
        <v>4</v>
      </c>
      <c r="J209" t="s">
        <v>16</v>
      </c>
      <c r="K209" t="s">
        <v>18</v>
      </c>
      <c r="L209">
        <f t="shared" si="22"/>
        <v>6</v>
      </c>
      <c r="M209" t="str">
        <f t="shared" si="23"/>
        <v>High Value</v>
      </c>
    </row>
    <row r="210" spans="1:13" x14ac:dyDescent="0.35">
      <c r="A210">
        <v>209</v>
      </c>
      <c r="B210" t="s">
        <v>17</v>
      </c>
      <c r="C210" t="s">
        <v>13</v>
      </c>
      <c r="D210">
        <v>10</v>
      </c>
      <c r="E210" t="str">
        <f t="shared" si="18"/>
        <v>Frequent</v>
      </c>
      <c r="F210">
        <f t="shared" si="19"/>
        <v>2</v>
      </c>
      <c r="G210">
        <v>436</v>
      </c>
      <c r="H210" t="str">
        <f t="shared" si="20"/>
        <v>High Spender</v>
      </c>
      <c r="I210">
        <f t="shared" si="21"/>
        <v>4</v>
      </c>
      <c r="J210" t="s">
        <v>16</v>
      </c>
      <c r="K210" t="s">
        <v>18</v>
      </c>
      <c r="L210">
        <f t="shared" si="22"/>
        <v>6</v>
      </c>
      <c r="M210" t="str">
        <f t="shared" si="23"/>
        <v>High Value</v>
      </c>
    </row>
    <row r="211" spans="1:13" x14ac:dyDescent="0.35">
      <c r="A211">
        <v>210</v>
      </c>
      <c r="B211">
        <v>51</v>
      </c>
      <c r="C211" t="s">
        <v>18</v>
      </c>
      <c r="D211">
        <v>17</v>
      </c>
      <c r="E211" t="str">
        <f t="shared" si="18"/>
        <v>Frequent</v>
      </c>
      <c r="F211">
        <f t="shared" si="19"/>
        <v>2</v>
      </c>
      <c r="G211">
        <v>659</v>
      </c>
      <c r="H211" t="str">
        <f t="shared" si="20"/>
        <v>High Spender</v>
      </c>
      <c r="I211">
        <f t="shared" si="21"/>
        <v>4</v>
      </c>
      <c r="J211" t="s">
        <v>12</v>
      </c>
      <c r="K211" t="s">
        <v>15</v>
      </c>
      <c r="L211">
        <f t="shared" si="22"/>
        <v>6</v>
      </c>
      <c r="M211" t="str">
        <f t="shared" si="23"/>
        <v>High Value</v>
      </c>
    </row>
    <row r="212" spans="1:13" x14ac:dyDescent="0.35">
      <c r="A212">
        <v>211</v>
      </c>
      <c r="B212">
        <v>41</v>
      </c>
      <c r="C212" t="s">
        <v>13</v>
      </c>
      <c r="D212">
        <v>22</v>
      </c>
      <c r="E212" t="str">
        <f t="shared" si="18"/>
        <v>Frequent</v>
      </c>
      <c r="F212">
        <f t="shared" si="19"/>
        <v>2</v>
      </c>
      <c r="G212">
        <v>423</v>
      </c>
      <c r="H212" t="str">
        <f t="shared" si="20"/>
        <v>High Spender</v>
      </c>
      <c r="I212">
        <f t="shared" si="21"/>
        <v>4</v>
      </c>
      <c r="J212" t="s">
        <v>18</v>
      </c>
      <c r="K212" t="s">
        <v>11</v>
      </c>
      <c r="L212">
        <f t="shared" si="22"/>
        <v>6</v>
      </c>
      <c r="M212" t="str">
        <f t="shared" si="23"/>
        <v>High Value</v>
      </c>
    </row>
    <row r="213" spans="1:13" x14ac:dyDescent="0.35">
      <c r="A213">
        <v>212</v>
      </c>
      <c r="B213" t="s">
        <v>17</v>
      </c>
      <c r="C213" t="s">
        <v>13</v>
      </c>
      <c r="D213">
        <v>11</v>
      </c>
      <c r="E213" t="str">
        <f t="shared" si="18"/>
        <v>Frequent</v>
      </c>
      <c r="F213">
        <f t="shared" si="19"/>
        <v>2</v>
      </c>
      <c r="G213">
        <v>459</v>
      </c>
      <c r="H213" t="str">
        <f t="shared" si="20"/>
        <v>High Spender</v>
      </c>
      <c r="I213">
        <f t="shared" si="21"/>
        <v>4</v>
      </c>
      <c r="J213" t="s">
        <v>18</v>
      </c>
      <c r="K213" t="s">
        <v>11</v>
      </c>
      <c r="L213">
        <f t="shared" si="22"/>
        <v>6</v>
      </c>
      <c r="M213" t="str">
        <f t="shared" si="23"/>
        <v>High Value</v>
      </c>
    </row>
    <row r="214" spans="1:13" x14ac:dyDescent="0.35">
      <c r="A214">
        <v>213</v>
      </c>
      <c r="B214">
        <v>32</v>
      </c>
      <c r="C214" t="s">
        <v>13</v>
      </c>
      <c r="D214">
        <v>5</v>
      </c>
      <c r="E214" t="str">
        <f t="shared" si="18"/>
        <v>Moderate</v>
      </c>
      <c r="F214">
        <f t="shared" si="19"/>
        <v>1</v>
      </c>
      <c r="G214">
        <v>164</v>
      </c>
      <c r="H214" t="str">
        <f t="shared" si="20"/>
        <v>Medium Spender</v>
      </c>
      <c r="I214">
        <f t="shared" si="21"/>
        <v>2</v>
      </c>
      <c r="J214" t="s">
        <v>16</v>
      </c>
      <c r="K214" t="s">
        <v>18</v>
      </c>
      <c r="L214">
        <f t="shared" si="22"/>
        <v>3</v>
      </c>
      <c r="M214" t="str">
        <f t="shared" si="23"/>
        <v>Medium</v>
      </c>
    </row>
    <row r="215" spans="1:13" x14ac:dyDescent="0.35">
      <c r="A215">
        <v>214</v>
      </c>
      <c r="B215">
        <v>55</v>
      </c>
      <c r="C215" t="s">
        <v>13</v>
      </c>
      <c r="D215">
        <v>19</v>
      </c>
      <c r="E215" t="str">
        <f t="shared" si="18"/>
        <v>Frequent</v>
      </c>
      <c r="F215">
        <f t="shared" si="19"/>
        <v>2</v>
      </c>
      <c r="G215">
        <v>527</v>
      </c>
      <c r="H215" t="str">
        <f t="shared" si="20"/>
        <v>High Spender</v>
      </c>
      <c r="I215">
        <f t="shared" si="21"/>
        <v>4</v>
      </c>
      <c r="J215" t="s">
        <v>9</v>
      </c>
      <c r="K215" t="s">
        <v>18</v>
      </c>
      <c r="L215">
        <f t="shared" si="22"/>
        <v>6</v>
      </c>
      <c r="M215" t="str">
        <f t="shared" si="23"/>
        <v>High Value</v>
      </c>
    </row>
    <row r="216" spans="1:13" x14ac:dyDescent="0.35">
      <c r="A216">
        <v>215</v>
      </c>
      <c r="B216">
        <v>25</v>
      </c>
      <c r="C216" t="s">
        <v>13</v>
      </c>
      <c r="D216">
        <v>22</v>
      </c>
      <c r="E216" t="str">
        <f t="shared" si="18"/>
        <v>Frequent</v>
      </c>
      <c r="F216">
        <f t="shared" si="19"/>
        <v>2</v>
      </c>
      <c r="G216">
        <v>654</v>
      </c>
      <c r="H216" t="str">
        <f t="shared" si="20"/>
        <v>High Spender</v>
      </c>
      <c r="I216">
        <f t="shared" si="21"/>
        <v>4</v>
      </c>
      <c r="J216" t="s">
        <v>12</v>
      </c>
      <c r="K216" t="s">
        <v>15</v>
      </c>
      <c r="L216">
        <f t="shared" si="22"/>
        <v>6</v>
      </c>
      <c r="M216" t="str">
        <f t="shared" si="23"/>
        <v>High Value</v>
      </c>
    </row>
    <row r="217" spans="1:13" x14ac:dyDescent="0.35">
      <c r="A217">
        <v>216</v>
      </c>
      <c r="B217" t="s">
        <v>17</v>
      </c>
      <c r="C217" t="s">
        <v>14</v>
      </c>
      <c r="D217">
        <v>12</v>
      </c>
      <c r="E217" t="str">
        <f t="shared" si="18"/>
        <v>Frequent</v>
      </c>
      <c r="F217">
        <f t="shared" si="19"/>
        <v>2</v>
      </c>
      <c r="G217">
        <v>594</v>
      </c>
      <c r="H217" t="str">
        <f t="shared" si="20"/>
        <v>High Spender</v>
      </c>
      <c r="I217">
        <f t="shared" si="21"/>
        <v>4</v>
      </c>
      <c r="J217" t="s">
        <v>16</v>
      </c>
      <c r="K217" t="s">
        <v>18</v>
      </c>
      <c r="L217">
        <f t="shared" si="22"/>
        <v>6</v>
      </c>
      <c r="M217" t="str">
        <f t="shared" si="23"/>
        <v>High Value</v>
      </c>
    </row>
    <row r="218" spans="1:13" x14ac:dyDescent="0.35">
      <c r="A218">
        <v>217</v>
      </c>
      <c r="B218">
        <v>22</v>
      </c>
      <c r="C218" t="s">
        <v>14</v>
      </c>
      <c r="D218">
        <v>19</v>
      </c>
      <c r="E218" t="str">
        <f t="shared" si="18"/>
        <v>Frequent</v>
      </c>
      <c r="F218">
        <f t="shared" si="19"/>
        <v>2</v>
      </c>
      <c r="G218">
        <v>81</v>
      </c>
      <c r="H218" t="str">
        <f t="shared" si="20"/>
        <v>Low Spender</v>
      </c>
      <c r="I218">
        <f t="shared" si="21"/>
        <v>1</v>
      </c>
      <c r="J218" t="s">
        <v>18</v>
      </c>
      <c r="K218" t="s">
        <v>8</v>
      </c>
      <c r="L218">
        <f t="shared" si="22"/>
        <v>3</v>
      </c>
      <c r="M218" t="str">
        <f t="shared" si="23"/>
        <v>Medium</v>
      </c>
    </row>
    <row r="219" spans="1:13" x14ac:dyDescent="0.35">
      <c r="A219">
        <v>218</v>
      </c>
      <c r="B219">
        <v>65</v>
      </c>
      <c r="C219" t="s">
        <v>14</v>
      </c>
      <c r="D219">
        <v>15</v>
      </c>
      <c r="E219" t="str">
        <f t="shared" si="18"/>
        <v>Frequent</v>
      </c>
      <c r="F219">
        <f t="shared" si="19"/>
        <v>2</v>
      </c>
      <c r="G219">
        <v>513</v>
      </c>
      <c r="H219" t="str">
        <f t="shared" si="20"/>
        <v>High Spender</v>
      </c>
      <c r="I219">
        <f t="shared" si="21"/>
        <v>4</v>
      </c>
      <c r="J219" t="s">
        <v>18</v>
      </c>
      <c r="K219" t="s">
        <v>8</v>
      </c>
      <c r="L219">
        <f t="shared" si="22"/>
        <v>6</v>
      </c>
      <c r="M219" t="str">
        <f t="shared" si="23"/>
        <v>High Value</v>
      </c>
    </row>
    <row r="220" spans="1:13" x14ac:dyDescent="0.35">
      <c r="A220">
        <v>219</v>
      </c>
      <c r="B220">
        <v>43</v>
      </c>
      <c r="C220" t="s">
        <v>14</v>
      </c>
      <c r="D220">
        <v>17</v>
      </c>
      <c r="E220" t="str">
        <f t="shared" si="18"/>
        <v>Frequent</v>
      </c>
      <c r="F220">
        <f t="shared" si="19"/>
        <v>2</v>
      </c>
      <c r="G220">
        <v>445</v>
      </c>
      <c r="H220" t="str">
        <f t="shared" si="20"/>
        <v>High Spender</v>
      </c>
      <c r="I220">
        <f t="shared" si="21"/>
        <v>4</v>
      </c>
      <c r="J220" t="s">
        <v>12</v>
      </c>
      <c r="K220" t="s">
        <v>15</v>
      </c>
      <c r="L220">
        <f t="shared" si="22"/>
        <v>6</v>
      </c>
      <c r="M220" t="str">
        <f t="shared" si="23"/>
        <v>High Value</v>
      </c>
    </row>
    <row r="221" spans="1:13" x14ac:dyDescent="0.35">
      <c r="A221">
        <v>220</v>
      </c>
      <c r="B221">
        <v>35</v>
      </c>
      <c r="C221" t="s">
        <v>14</v>
      </c>
      <c r="D221">
        <v>9</v>
      </c>
      <c r="E221" t="str">
        <f t="shared" si="18"/>
        <v>Frequent</v>
      </c>
      <c r="F221">
        <f t="shared" si="19"/>
        <v>2</v>
      </c>
      <c r="G221">
        <v>258</v>
      </c>
      <c r="H221" t="str">
        <f t="shared" si="20"/>
        <v>Medium Spender</v>
      </c>
      <c r="I221">
        <f t="shared" si="21"/>
        <v>2</v>
      </c>
      <c r="J221" t="s">
        <v>10</v>
      </c>
      <c r="K221" t="s">
        <v>18</v>
      </c>
      <c r="L221">
        <f t="shared" si="22"/>
        <v>4</v>
      </c>
      <c r="M221" t="str">
        <f t="shared" si="23"/>
        <v>Medium</v>
      </c>
    </row>
  </sheetData>
  <conditionalFormatting sqref="A1:A221">
    <cfRule type="duplicateValues" dxfId="1" priority="2"/>
  </conditionalFormatting>
  <conditionalFormatting sqref="B1:B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Messy_customer_behaviour_datase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Victor Serem</cp:lastModifiedBy>
  <dcterms:created xsi:type="dcterms:W3CDTF">2026-02-08T09:20:15Z</dcterms:created>
  <dcterms:modified xsi:type="dcterms:W3CDTF">2026-02-09T16:12:43Z</dcterms:modified>
</cp:coreProperties>
</file>